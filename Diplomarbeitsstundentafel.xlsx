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602"/>
  <workbookPr codeName="ThisWorkbook" autoCompressPictures="0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760" documentId="13_ncr:1_{876B5206-D560-4EBC-9430-D4DA3C9834A4}" xr6:coauthVersionLast="47" xr6:coauthVersionMax="47" xr10:uidLastSave="{496E32DF-7E5D-4417-8B57-7719167FD5E1}"/>
  <bookViews>
    <workbookView xWindow="0" yWindow="0" windowWidth="20400" windowHeight="7080" xr2:uid="{00000000-000D-0000-FFFF-FFFF00000000}"/>
  </bookViews>
  <sheets>
    <sheet name="VORGÄNGE" sheetId="1" r:id="rId1"/>
  </sheets>
  <definedNames>
    <definedName name="_xlnm.Print_Titles" localSheetId="0">VORGÄNGE!$2:$2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K5" i="1" l="1"/>
  <c r="K3" i="1"/>
</calcChain>
</file>

<file path=xl/sharedStrings.xml><?xml version="1.0" encoding="utf-8"?>
<sst xmlns="http://schemas.openxmlformats.org/spreadsheetml/2006/main" count="139" uniqueCount="70">
  <si>
    <t>Arbeitszeit - Liste</t>
  </si>
  <si>
    <t>VORGÄNGE</t>
  </si>
  <si>
    <t>DATUM</t>
  </si>
  <si>
    <t>Startzeit</t>
  </si>
  <si>
    <t>EndZeit</t>
  </si>
  <si>
    <t>Eingetragen von?</t>
  </si>
  <si>
    <t>% ABGESCHLOSSEN</t>
  </si>
  <si>
    <t>Stunden Luhamer</t>
  </si>
  <si>
    <t>Stunden Laussermayer</t>
  </si>
  <si>
    <t>Gesamte Stunden LAUSSI</t>
  </si>
  <si>
    <t>E - Plan installation</t>
  </si>
  <si>
    <t>Laussermayer</t>
  </si>
  <si>
    <t>h</t>
  </si>
  <si>
    <t>Erstellung der E - Plan ID</t>
  </si>
  <si>
    <t>Gesamte Stunden LU</t>
  </si>
  <si>
    <t>Erstellung Excel Tabelle (Zeiterfassung)</t>
  </si>
  <si>
    <t>Schreiben von Einleitung</t>
  </si>
  <si>
    <t>Erstellung erster Schaltpläne</t>
  </si>
  <si>
    <t>Enschulung E - Plan Weinstabel</t>
  </si>
  <si>
    <t>Ausarbeitung Komponenten Liste</t>
  </si>
  <si>
    <t>Luhamer</t>
  </si>
  <si>
    <t>Diploa. Besprechung ext. Betreuer</t>
  </si>
  <si>
    <t>Definierung Meilensteine</t>
  </si>
  <si>
    <t>Bauteilliste erstellen</t>
  </si>
  <si>
    <t>über CAD-Zeichnung informieren</t>
  </si>
  <si>
    <t xml:space="preserve">Bauteilliste fertig machen </t>
  </si>
  <si>
    <t>E-Plan Strukturaufbau</t>
  </si>
  <si>
    <t>Formatierung Titelseite (E-PLAN)</t>
  </si>
  <si>
    <t>Weiterzeichnen E-Plan</t>
  </si>
  <si>
    <t xml:space="preserve">Weiterzeichnen E-Plan </t>
  </si>
  <si>
    <t xml:space="preserve">Weiterzeichnung E-Plan </t>
  </si>
  <si>
    <t>Kontrollierung der E-Plan Zeichnung</t>
  </si>
  <si>
    <t>Verbesserung Zeichnung</t>
  </si>
  <si>
    <t>Ausarbeitung Bestellliste</t>
  </si>
  <si>
    <t>Stunde LU</t>
  </si>
  <si>
    <t xml:space="preserve">Zeichnen eines Diagrams </t>
  </si>
  <si>
    <t>Fertigstellung Diagrams</t>
  </si>
  <si>
    <t>Defintion Neuer Strukturkennzeichen</t>
  </si>
  <si>
    <t>Erstellung I/O Plans</t>
  </si>
  <si>
    <t>Weiterbildung E-Plan</t>
  </si>
  <si>
    <t>Optimierung Strukturdefintionen</t>
  </si>
  <si>
    <t>Sitzung Standpunkt</t>
  </si>
  <si>
    <t>Weiterarbeitung Schaltplan</t>
  </si>
  <si>
    <t>Erstellung Makro Heizstab</t>
  </si>
  <si>
    <t>Infomieren über SPS</t>
  </si>
  <si>
    <t>Korrigierung von Schaltung 20.08</t>
  </si>
  <si>
    <t>Einfügen SPS Logik / Strukturkennzeichen Liste</t>
  </si>
  <si>
    <t>Not - Haltschaltung einzeichnen / Pumpenmotor Schaltung</t>
  </si>
  <si>
    <t>Bauteile näher informieren für Zeichnen</t>
  </si>
  <si>
    <t>Eplan zeichnen</t>
  </si>
  <si>
    <t>Besprechung Luhamer</t>
  </si>
  <si>
    <t>Kontrollierung der Zeichnung</t>
  </si>
  <si>
    <t>Dokumentierung</t>
  </si>
  <si>
    <t>Bauteile nach Foto heraussuchen</t>
  </si>
  <si>
    <t>Inormierung über einzelne Baugruppen</t>
  </si>
  <si>
    <t>Besprechung Luhamer Erweiterung Stückliste</t>
  </si>
  <si>
    <t>B. durch in andere Websiten finden</t>
  </si>
  <si>
    <t>benutzte Eplan Bauteile suchen</t>
  </si>
  <si>
    <t xml:space="preserve">Dokumentierung </t>
  </si>
  <si>
    <t>Überarbeitung I/O-Plan</t>
  </si>
  <si>
    <t>Installtion der SPS Logo Programmieruumgebung</t>
  </si>
  <si>
    <t>Einfügen Knopfschaltungen</t>
  </si>
  <si>
    <t>11:09.2026</t>
  </si>
  <si>
    <t>Besprechung Prf. Weinstabel</t>
  </si>
  <si>
    <t>Überarbeitung der Füllstand/Temperatursensor Blätter</t>
  </si>
  <si>
    <t xml:space="preserve">Schaltplan ausbesserungen </t>
  </si>
  <si>
    <t>Einstellen der Verdrahtungsklemmen</t>
  </si>
  <si>
    <t>Zeichnen des 3D-Schranks</t>
  </si>
  <si>
    <t>Aktualiserung der Bauteilliste</t>
  </si>
  <si>
    <t>Fertig zeichnen Füllstandssensor/Temperatursensor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</si>
</sst>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&quot;Done&quot;;&quot;&quot;;&quot;&quot;"/>
  </numFmts>
  <fonts count="6">
    <font>
      <sz val="11"/>
      <color theme="1"/>
      <name val="Calibri"/>
      <family val="2"/>
      <scheme val="minor"/>
    </font>
    <font>
      <b/>
      <sz val="16"/>
      <color theme="2" tint="-0.749961851863155"/>
      <name val="Courier New"/>
      <family val="3"/>
      <scheme val="major"/>
    </font>
    <font>
      <b/>
      <sz val="12"/>
      <color theme="4" tint="-0.499984740745262"/>
      <name val="Courier New"/>
      <family val="3"/>
      <scheme val="major"/>
    </font>
    <font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charset val="1"/>
    </font>
  </fonts>
  <fills count="3">
    <fill>
      <patternFill patternType="none"/>
    </fill>
    <fill>
      <patternFill patternType="gray125"/>
    </fill>
    <fill>
      <patternFill patternType="solid">
        <fgColor theme="4" tint="0.59996337778862885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theme="0" tint="-0.14996795556505021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</borders>
  <cellStyleXfs count="7">
    <xf numFmtId="0" fontId="0" fillId="0" borderId="0">
      <alignment horizontal="left" vertical="center"/>
    </xf>
    <xf numFmtId="0" fontId="1" fillId="2" borderId="0" applyNumberFormat="0" applyBorder="0" applyProtection="0">
      <alignment horizontal="left" wrapText="1"/>
    </xf>
    <xf numFmtId="0" fontId="2" fillId="0" borderId="1" applyNumberFormat="0" applyFill="0" applyProtection="0">
      <alignment horizontal="left" vertical="center"/>
    </xf>
    <xf numFmtId="164" fontId="3" fillId="0" borderId="0">
      <alignment horizontal="center" vertical="center"/>
    </xf>
    <xf numFmtId="9" fontId="4" fillId="0" borderId="0" applyFont="0" applyFill="0" applyBorder="0" applyProtection="0">
      <alignment horizontal="right" vertical="center"/>
    </xf>
    <xf numFmtId="14" fontId="4" fillId="0" borderId="0">
      <alignment horizontal="left" vertical="center" wrapText="1"/>
    </xf>
    <xf numFmtId="0" fontId="4" fillId="0" borderId="0">
      <alignment horizontal="left" vertical="center" wrapText="1"/>
    </xf>
  </cellStyleXfs>
  <cellXfs count="23">
    <xf numFmtId="0" fontId="0" fillId="0" borderId="0" xfId="0">
      <alignment horizontal="left" vertical="center"/>
    </xf>
    <xf numFmtId="0" fontId="1" fillId="2" borderId="0" xfId="1">
      <alignment horizontal="left" wrapText="1"/>
    </xf>
    <xf numFmtId="0" fontId="2" fillId="0" borderId="1" xfId="2">
      <alignment horizontal="left" vertical="center"/>
    </xf>
    <xf numFmtId="14" fontId="4" fillId="0" borderId="0" xfId="5">
      <alignment horizontal="left" vertical="center" wrapText="1"/>
    </xf>
    <xf numFmtId="14" fontId="2" fillId="0" borderId="1" xfId="2" applyNumberFormat="1">
      <alignment horizontal="left" vertical="center"/>
    </xf>
    <xf numFmtId="0" fontId="4" fillId="0" borderId="0" xfId="6">
      <alignment horizontal="left" vertical="center" wrapText="1"/>
    </xf>
    <xf numFmtId="9" fontId="2" fillId="0" borderId="1" xfId="2" applyNumberFormat="1">
      <alignment horizontal="left" vertical="center"/>
    </xf>
    <xf numFmtId="0" fontId="0" fillId="0" borderId="0" xfId="6" applyFont="1">
      <alignment horizontal="left" vertical="center" wrapText="1"/>
    </xf>
    <xf numFmtId="9" fontId="0" fillId="0" borderId="0" xfId="4" applyFont="1" applyBorder="1">
      <alignment horizontal="right" vertical="center"/>
    </xf>
    <xf numFmtId="0" fontId="2" fillId="0" borderId="2" xfId="2" applyBorder="1">
      <alignment horizontal="left" vertical="center"/>
    </xf>
    <xf numFmtId="0" fontId="2" fillId="0" borderId="0" xfId="2" applyBorder="1">
      <alignment horizontal="left" vertical="center"/>
    </xf>
    <xf numFmtId="0" fontId="1" fillId="2" borderId="0" xfId="1" applyAlignment="1">
      <alignment horizontal="center"/>
    </xf>
    <xf numFmtId="20" fontId="4" fillId="0" borderId="0" xfId="5" applyNumberFormat="1">
      <alignment horizontal="left" vertical="center" wrapText="1"/>
    </xf>
    <xf numFmtId="14" fontId="0" fillId="0" borderId="0" xfId="0" applyNumberFormat="1">
      <alignment horizontal="left" vertical="center"/>
    </xf>
    <xf numFmtId="21" fontId="4" fillId="0" borderId="0" xfId="5" applyNumberFormat="1">
      <alignment horizontal="left" vertical="center" wrapText="1"/>
    </xf>
    <xf numFmtId="14" fontId="0" fillId="0" borderId="0" xfId="5" applyFont="1">
      <alignment horizontal="left" vertical="center" wrapText="1"/>
    </xf>
    <xf numFmtId="9" fontId="0" fillId="0" borderId="0" xfId="4" applyFont="1">
      <alignment horizontal="right" vertical="center"/>
    </xf>
    <xf numFmtId="16" fontId="0" fillId="0" borderId="0" xfId="0" applyNumberFormat="1">
      <alignment horizontal="left" vertical="center"/>
    </xf>
    <xf numFmtId="9" fontId="0" fillId="0" borderId="0" xfId="0" applyNumberFormat="1">
      <alignment horizontal="left" vertical="center"/>
    </xf>
    <xf numFmtId="20" fontId="0" fillId="0" borderId="0" xfId="0" applyNumberFormat="1">
      <alignment horizontal="left" vertical="center"/>
    </xf>
    <xf numFmtId="0" fontId="5" fillId="0" borderId="0" xfId="0" applyFont="1">
      <alignment horizontal="left" vertical="center"/>
    </xf>
    <xf numFmtId="0" fontId="4" fillId="0" borderId="0" xfId="6" applyFill="1">
      <alignment horizontal="left" vertical="center" wrapText="1"/>
    </xf>
    <xf numFmtId="20" fontId="4" fillId="0" borderId="0" xfId="5" applyNumberFormat="1" applyFill="1">
      <alignment horizontal="left" vertical="center" wrapText="1"/>
    </xf>
  </cellXfs>
  <cellStyles count="7">
    <cellStyle name="Datum" xfId="5" xr:uid="{00000000-0005-0000-0000-000000000000}"/>
    <cellStyle name="Fertig" xfId="3" xr:uid="{00000000-0005-0000-0000-000001000000}"/>
    <cellStyle name="Prozent" xfId="4" builtinId="5" customBuiltin="1"/>
    <cellStyle name="Standard" xfId="0" builtinId="0" customBuiltin="1"/>
    <cellStyle name="Tabellentext" xfId="6" xr:uid="{00000000-0005-0000-0000-000005000000}"/>
    <cellStyle name="Überschrift" xfId="1" builtinId="15" customBuiltin="1"/>
    <cellStyle name="Überschrift 1" xfId="2" builtinId="16" customBuiltin="1"/>
  </cellStyles>
  <dxfs count="4">
    <dxf>
      <font>
        <b/>
        <i val="0"/>
        <color theme="3"/>
      </font>
    </dxf>
    <dxf>
      <font>
        <b/>
        <i val="0"/>
        <color theme="5"/>
      </font>
    </dxf>
    <dxf>
      <font>
        <b/>
        <i val="0"/>
        <color theme="4" tint="-0.24994659260841701"/>
      </font>
      <border>
        <left/>
        <right/>
        <top/>
        <bottom style="thin">
          <color theme="0" tint="-0.14996795556505021"/>
        </bottom>
        <vertical/>
        <horizontal/>
      </border>
    </dxf>
    <dxf>
      <font>
        <b val="0"/>
        <i val="0"/>
        <color theme="3"/>
      </font>
      <border diagonalUp="0" diagonalDown="1">
        <left/>
        <right/>
        <top style="thin">
          <color theme="0" tint="-0.14996795556505021"/>
        </top>
        <bottom style="thin">
          <color theme="0" tint="-0.14996795556505021"/>
        </bottom>
        <diagonal style="thin">
          <color theme="2"/>
        </diagonal>
        <vertical/>
        <horizontal style="thin">
          <color theme="0" tint="-0.14996795556505021"/>
        </horizontal>
      </border>
    </dxf>
  </dxfs>
  <tableStyles count="1" defaultTableStyle="Vorgangsliste" defaultPivotStyle="PivotStyleLight16">
    <tableStyle name="Vorgangsliste" pivot="0" count="4" xr9:uid="{00000000-0011-0000-FFFF-FFFF00000000}">
      <tableStyleElement type="wholeTable" dxfId="3"/>
      <tableStyleElement type="headerRow" dxfId="2"/>
      <tableStyleElement type="totalRow" dxfId="1"/>
      <tableStyleElement type="firstColumn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Vorgänge" displayName="Vorgänge" ref="B2:I36" totalsRowShown="0">
  <autoFilter ref="B2:I36" xr:uid="{00000000-0009-0000-0100-000001000000}"/>
  <tableColumns count="8">
    <tableColumn id="1" xr3:uid="{00000000-0010-0000-0000-000001000000}" name="VORGÄNGE"/>
    <tableColumn id="4" xr3:uid="{00000000-0010-0000-0000-000004000000}" name="DATUM"/>
    <tableColumn id="12" xr3:uid="{6E5922E4-4E12-42F1-A39C-6B13206DD030}" name="Startzeit" dataCellStyle="Datum"/>
    <tableColumn id="13" xr3:uid="{E12F561D-C934-4E74-AE3E-C355615CA7E1}" name="EndZeit" dataCellStyle="Datum"/>
    <tableColumn id="5" xr3:uid="{00000000-0010-0000-0000-000005000000}" name="Eingetragen von?"/>
    <tableColumn id="6" xr3:uid="{00000000-0010-0000-0000-000006000000}" name="% ABGESCHLOSSEN"/>
    <tableColumn id="2" xr3:uid="{ECF8F96A-E08C-4B7D-BEEF-72A949EB579A}" name="Stunden Luhamer" dataCellStyle="Tabellentext"/>
    <tableColumn id="3" xr3:uid="{67AF8B93-0ABF-451F-9AF9-DCEC91EC20CB}" name="Stunden Laussermayer" dataCellStyle="Tabellentext"/>
  </tableColumns>
  <tableStyleInfo name="Vorgangsliste" showFirstColumn="1" showLastColumn="0" showRowStripes="1" showColumnStripes="0"/>
  <extLst>
    <ext xmlns:x14="http://schemas.microsoft.com/office/spreadsheetml/2009/9/main" uri="{504A1905-F514-4f6f-8877-14C23A59335A}">
      <x14:table altTextSummary="Eine Tabelle zum Nachverfolgen einer Liste mit Vorgängen. Geben Sie Vorgangsnamen, Anfangs- und Enddaten, Prozent abgeschlossen und eventuelle Notizen ein. In der Spalte F wird für Vorgänge, die 100 % abgeschlossen erreichen, ein Symbol angezeigt."/>
    </ext>
  </extLst>
</table>
</file>

<file path=xl/theme/theme1.xml><?xml version="1.0" encoding="utf-8"?>
<a:theme xmlns:a="http://schemas.openxmlformats.org/drawingml/2006/main" name="Office Theme">
  <a:themeElements>
    <a:clrScheme name="Task List">
      <a:dk1>
        <a:sysClr val="windowText" lastClr="000000"/>
      </a:dk1>
      <a:lt1>
        <a:sysClr val="window" lastClr="FFFFFF"/>
      </a:lt1>
      <a:dk2>
        <a:srgbClr val="07181B"/>
      </a:dk2>
      <a:lt2>
        <a:srgbClr val="F9F8F3"/>
      </a:lt2>
      <a:accent1>
        <a:srgbClr val="39BCD2"/>
      </a:accent1>
      <a:accent2>
        <a:srgbClr val="F1C94D"/>
      </a:accent2>
      <a:accent3>
        <a:srgbClr val="FD9330"/>
      </a:accent3>
      <a:accent4>
        <a:srgbClr val="F1424D"/>
      </a:accent4>
      <a:accent5>
        <a:srgbClr val="22B183"/>
      </a:accent5>
      <a:accent6>
        <a:srgbClr val="8963A7"/>
      </a:accent6>
      <a:hlink>
        <a:srgbClr val="39BCD2"/>
      </a:hlink>
      <a:folHlink>
        <a:srgbClr val="8963A7"/>
      </a:folHlink>
    </a:clrScheme>
    <a:fontScheme name="Task list 2">
      <a:majorFont>
        <a:latin typeface="Courier New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theme="4"/>
    <pageSetUpPr autoPageBreaks="0" fitToPage="1"/>
  </sheetPr>
  <dimension ref="B1:S63"/>
  <sheetViews>
    <sheetView showGridLines="0" tabSelected="1" topLeftCell="I1" zoomScaleNormal="100" workbookViewId="0">
      <selection activeCell="C64" sqref="C64"/>
    </sheetView>
  </sheetViews>
  <sheetFormatPr defaultColWidth="8.5703125" defaultRowHeight="33" customHeight="1"/>
  <cols>
    <col min="1" max="1" width="2.7109375" customWidth="1"/>
    <col min="2" max="2" width="34.5703125" customWidth="1"/>
    <col min="3" max="7" width="26.5703125" customWidth="1"/>
    <col min="8" max="8" width="24.42578125" bestFit="1" customWidth="1"/>
    <col min="9" max="9" width="31.42578125" bestFit="1" customWidth="1"/>
    <col min="10" max="10" width="25.85546875" bestFit="1" customWidth="1"/>
    <col min="11" max="11" width="32" bestFit="1" customWidth="1"/>
    <col min="12" max="13" width="22.140625" bestFit="1" customWidth="1"/>
  </cols>
  <sheetData>
    <row r="1" spans="2:19" ht="30" customHeight="1">
      <c r="B1" s="1"/>
      <c r="C1" s="1"/>
      <c r="D1" s="1"/>
      <c r="E1" s="1"/>
      <c r="F1" s="11" t="s">
        <v>0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2:19" ht="24.95" customHeight="1">
      <c r="B2" s="2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6" t="s">
        <v>6</v>
      </c>
      <c r="H2" s="9" t="s">
        <v>7</v>
      </c>
      <c r="I2" s="9" t="s">
        <v>8</v>
      </c>
      <c r="K2" s="9" t="s">
        <v>9</v>
      </c>
      <c r="L2" s="2"/>
    </row>
    <row r="3" spans="2:19" ht="33" customHeight="1">
      <c r="B3" s="7" t="s">
        <v>10</v>
      </c>
      <c r="C3" s="3">
        <v>46203</v>
      </c>
      <c r="D3" s="12">
        <v>0.55555555555555558</v>
      </c>
      <c r="E3" s="12">
        <v>0.63888888888888884</v>
      </c>
      <c r="F3" s="3" t="s">
        <v>11</v>
      </c>
      <c r="G3" s="8">
        <v>1</v>
      </c>
      <c r="H3" s="5">
        <v>2</v>
      </c>
      <c r="I3" s="5">
        <v>2</v>
      </c>
      <c r="K3">
        <f>SUM(I:I)</f>
        <v>101</v>
      </c>
      <c r="L3" t="s">
        <v>12</v>
      </c>
    </row>
    <row r="4" spans="2:19" ht="33" customHeight="1">
      <c r="B4" s="5" t="s">
        <v>13</v>
      </c>
      <c r="C4" s="3">
        <v>46203</v>
      </c>
      <c r="D4" s="12">
        <v>0.64583333333333337</v>
      </c>
      <c r="E4" s="12">
        <v>0.6875</v>
      </c>
      <c r="F4" s="3" t="s">
        <v>11</v>
      </c>
      <c r="G4" s="8">
        <v>1</v>
      </c>
      <c r="H4" s="5">
        <v>2</v>
      </c>
      <c r="I4" s="5">
        <v>2</v>
      </c>
      <c r="K4" s="9" t="s">
        <v>14</v>
      </c>
    </row>
    <row r="5" spans="2:19" ht="33" customHeight="1">
      <c r="B5" s="5" t="s">
        <v>15</v>
      </c>
      <c r="C5" s="3">
        <v>46174</v>
      </c>
      <c r="D5" s="12">
        <v>0.33333333333333331</v>
      </c>
      <c r="E5" s="12">
        <v>0.36805555555555558</v>
      </c>
      <c r="F5" s="3" t="s">
        <v>11</v>
      </c>
      <c r="G5" s="8">
        <v>1</v>
      </c>
      <c r="H5" s="5">
        <v>0</v>
      </c>
      <c r="I5" s="5">
        <v>1</v>
      </c>
      <c r="K5">
        <f>SUM(H:H)</f>
        <v>79</v>
      </c>
      <c r="L5" t="s">
        <v>12</v>
      </c>
    </row>
    <row r="6" spans="2:19" ht="33" customHeight="1">
      <c r="B6" s="5" t="s">
        <v>16</v>
      </c>
      <c r="C6" s="3">
        <v>46206</v>
      </c>
      <c r="D6" s="12">
        <v>0.36805555555555558</v>
      </c>
      <c r="E6" s="12">
        <v>0.40277777777777779</v>
      </c>
      <c r="F6" s="3" t="s">
        <v>11</v>
      </c>
      <c r="G6" s="8">
        <v>0.5</v>
      </c>
      <c r="H6" s="5">
        <v>0</v>
      </c>
      <c r="I6" s="5">
        <v>1</v>
      </c>
    </row>
    <row r="7" spans="2:19" ht="33" customHeight="1">
      <c r="B7" s="5" t="s">
        <v>17</v>
      </c>
      <c r="C7" s="13">
        <v>46206</v>
      </c>
      <c r="D7" s="14">
        <v>0.52083333333333337</v>
      </c>
      <c r="E7" s="12">
        <v>0.625</v>
      </c>
      <c r="F7" s="3" t="s">
        <v>11</v>
      </c>
      <c r="G7" s="8">
        <v>1</v>
      </c>
      <c r="H7" s="5">
        <v>2.5</v>
      </c>
      <c r="I7" s="5">
        <v>2.5</v>
      </c>
      <c r="K7" s="10"/>
    </row>
    <row r="8" spans="2:19" ht="33" customHeight="1">
      <c r="B8" s="5" t="s">
        <v>18</v>
      </c>
      <c r="C8" s="3">
        <v>46211</v>
      </c>
      <c r="D8" s="12">
        <v>0.5625</v>
      </c>
      <c r="E8" s="12">
        <v>0.66666666666666663</v>
      </c>
      <c r="F8" s="3" t="s">
        <v>11</v>
      </c>
      <c r="G8" s="8">
        <v>1</v>
      </c>
      <c r="H8" s="5">
        <v>2.5</v>
      </c>
      <c r="I8" s="5">
        <v>2.5</v>
      </c>
    </row>
    <row r="9" spans="2:19" ht="33" customHeight="1">
      <c r="B9" s="5" t="s">
        <v>19</v>
      </c>
      <c r="C9" s="3">
        <v>46215</v>
      </c>
      <c r="D9" s="12">
        <v>0.375</v>
      </c>
      <c r="E9" s="12">
        <v>0.41666666666666669</v>
      </c>
      <c r="F9" s="3" t="s">
        <v>20</v>
      </c>
      <c r="G9" s="8">
        <v>1</v>
      </c>
      <c r="H9" s="5">
        <v>1</v>
      </c>
      <c r="I9" s="5">
        <v>0</v>
      </c>
    </row>
    <row r="10" spans="2:19" ht="33" customHeight="1">
      <c r="B10" s="5" t="s">
        <v>21</v>
      </c>
      <c r="C10" s="3">
        <v>46215</v>
      </c>
      <c r="D10" s="12">
        <v>0.70833333333333337</v>
      </c>
      <c r="E10" s="12">
        <v>0.79166666666666663</v>
      </c>
      <c r="F10" s="3" t="s">
        <v>11</v>
      </c>
      <c r="G10" s="8">
        <v>1</v>
      </c>
      <c r="H10" s="5">
        <v>2</v>
      </c>
      <c r="I10" s="5">
        <v>2</v>
      </c>
    </row>
    <row r="11" spans="2:19" ht="33" customHeight="1">
      <c r="B11" s="5" t="s">
        <v>22</v>
      </c>
      <c r="C11" s="3">
        <v>46216</v>
      </c>
      <c r="D11" s="12">
        <v>0.47916666666666669</v>
      </c>
      <c r="E11" s="12">
        <v>0.5625</v>
      </c>
      <c r="F11" s="3" t="s">
        <v>20</v>
      </c>
      <c r="G11" s="8">
        <v>1</v>
      </c>
      <c r="H11" s="5">
        <v>2</v>
      </c>
      <c r="I11" s="5">
        <v>2</v>
      </c>
    </row>
    <row r="12" spans="2:19" ht="33" customHeight="1">
      <c r="B12" s="5" t="s">
        <v>23</v>
      </c>
      <c r="C12" s="3">
        <v>46217</v>
      </c>
      <c r="D12" s="12">
        <v>0.375</v>
      </c>
      <c r="E12" s="12">
        <v>0.45833333333333331</v>
      </c>
      <c r="F12" s="3" t="s">
        <v>20</v>
      </c>
      <c r="G12" s="8">
        <v>0.5</v>
      </c>
      <c r="H12" s="5">
        <v>2</v>
      </c>
      <c r="I12" s="5">
        <v>1</v>
      </c>
    </row>
    <row r="13" spans="2:19" ht="33" customHeight="1">
      <c r="B13" s="7" t="s">
        <v>24</v>
      </c>
      <c r="C13" s="15">
        <v>46217</v>
      </c>
      <c r="D13" s="12">
        <v>0.45833333333333331</v>
      </c>
      <c r="E13" s="12">
        <v>0.5</v>
      </c>
      <c r="F13" s="15" t="s">
        <v>20</v>
      </c>
      <c r="G13" s="16">
        <v>0.5</v>
      </c>
      <c r="H13" s="5">
        <v>1</v>
      </c>
      <c r="I13" s="5">
        <v>0</v>
      </c>
    </row>
    <row r="14" spans="2:19" ht="33" customHeight="1">
      <c r="B14" s="7" t="s">
        <v>25</v>
      </c>
      <c r="C14" s="15">
        <v>46218</v>
      </c>
      <c r="D14" s="12">
        <v>0.41666666666666669</v>
      </c>
      <c r="E14" s="12">
        <v>0.45833333333333331</v>
      </c>
      <c r="F14" s="15" t="s">
        <v>20</v>
      </c>
      <c r="G14" s="16">
        <v>0.75</v>
      </c>
      <c r="H14" s="5">
        <v>1</v>
      </c>
      <c r="I14" s="5">
        <v>0</v>
      </c>
    </row>
    <row r="15" spans="2:19" ht="33" customHeight="1">
      <c r="B15" s="7" t="s">
        <v>24</v>
      </c>
      <c r="C15" s="15">
        <v>46218</v>
      </c>
      <c r="D15" s="12">
        <v>0.45833333333333331</v>
      </c>
      <c r="E15" s="12">
        <v>0.5</v>
      </c>
      <c r="F15" s="15" t="s">
        <v>20</v>
      </c>
      <c r="G15" s="16">
        <v>1</v>
      </c>
      <c r="H15" s="5">
        <v>1</v>
      </c>
      <c r="I15" s="5">
        <v>0</v>
      </c>
    </row>
    <row r="16" spans="2:19" ht="33" customHeight="1">
      <c r="B16" s="7" t="s">
        <v>26</v>
      </c>
      <c r="C16" s="15">
        <v>46219</v>
      </c>
      <c r="D16" s="12">
        <v>0.36458333333333331</v>
      </c>
      <c r="E16" s="12">
        <v>0.46875</v>
      </c>
      <c r="F16" s="15" t="s">
        <v>11</v>
      </c>
      <c r="G16" s="16">
        <v>0.75</v>
      </c>
      <c r="H16" s="5">
        <v>2.5</v>
      </c>
      <c r="I16" s="5">
        <v>2.5</v>
      </c>
    </row>
    <row r="17" spans="2:9" ht="33" customHeight="1">
      <c r="B17" s="7" t="s">
        <v>27</v>
      </c>
      <c r="C17" s="15">
        <v>46219</v>
      </c>
      <c r="D17" s="12">
        <v>0.46875</v>
      </c>
      <c r="E17" s="12">
        <v>0.53125</v>
      </c>
      <c r="F17" s="15" t="s">
        <v>11</v>
      </c>
      <c r="G17" s="16">
        <v>0.5</v>
      </c>
      <c r="H17" s="5">
        <v>0</v>
      </c>
      <c r="I17" s="5">
        <v>1.5</v>
      </c>
    </row>
    <row r="18" spans="2:9" ht="33" customHeight="1">
      <c r="B18" s="7" t="s">
        <v>28</v>
      </c>
      <c r="C18" s="15">
        <v>46221</v>
      </c>
      <c r="D18" s="12">
        <v>0.41666666666666669</v>
      </c>
      <c r="E18" s="12">
        <v>0.54166666666666663</v>
      </c>
      <c r="F18" s="15" t="s">
        <v>11</v>
      </c>
      <c r="G18" s="16">
        <v>0.25</v>
      </c>
      <c r="H18" s="5">
        <v>0</v>
      </c>
      <c r="I18" s="5">
        <v>3</v>
      </c>
    </row>
    <row r="19" spans="2:9" ht="33" customHeight="1">
      <c r="B19" s="7" t="s">
        <v>29</v>
      </c>
      <c r="C19" s="15">
        <v>46223</v>
      </c>
      <c r="D19" s="12">
        <v>0.33333333333333331</v>
      </c>
      <c r="E19" s="12">
        <v>0.54166666666666663</v>
      </c>
      <c r="F19" s="15" t="s">
        <v>20</v>
      </c>
      <c r="G19" s="16">
        <v>0.25</v>
      </c>
      <c r="H19" s="5">
        <v>5</v>
      </c>
      <c r="I19" s="5">
        <v>0</v>
      </c>
    </row>
    <row r="20" spans="2:9" ht="33" customHeight="1">
      <c r="B20" s="7" t="s">
        <v>28</v>
      </c>
      <c r="C20" s="15">
        <v>46226</v>
      </c>
      <c r="D20" s="12">
        <v>0.875</v>
      </c>
      <c r="E20" s="12">
        <v>0.91666666666666663</v>
      </c>
      <c r="F20" s="15" t="s">
        <v>11</v>
      </c>
      <c r="G20" s="16">
        <v>0.25</v>
      </c>
      <c r="H20" s="5">
        <v>0</v>
      </c>
      <c r="I20" s="5">
        <v>1</v>
      </c>
    </row>
    <row r="21" spans="2:9" ht="33" customHeight="1">
      <c r="B21" s="7" t="s">
        <v>30</v>
      </c>
      <c r="C21" s="15">
        <v>46227</v>
      </c>
      <c r="D21" s="12">
        <v>0.33333333333333331</v>
      </c>
      <c r="E21" s="12">
        <v>0.41666666666666669</v>
      </c>
      <c r="F21" s="15" t="s">
        <v>20</v>
      </c>
      <c r="G21" s="16">
        <v>0.25</v>
      </c>
      <c r="H21" s="5">
        <v>2</v>
      </c>
      <c r="I21" s="5">
        <v>0</v>
      </c>
    </row>
    <row r="22" spans="2:9" ht="33" customHeight="1">
      <c r="B22" s="7" t="s">
        <v>31</v>
      </c>
      <c r="C22" s="15">
        <v>46228</v>
      </c>
      <c r="D22" s="12">
        <v>0.33333333333333331</v>
      </c>
      <c r="E22" s="12">
        <v>0.5</v>
      </c>
      <c r="F22" s="15" t="s">
        <v>20</v>
      </c>
      <c r="G22" s="16">
        <v>0.25</v>
      </c>
      <c r="H22" s="5">
        <v>4</v>
      </c>
      <c r="I22" s="5">
        <v>0</v>
      </c>
    </row>
    <row r="23" spans="2:9" ht="33" customHeight="1">
      <c r="B23" s="7" t="s">
        <v>32</v>
      </c>
      <c r="C23" s="15">
        <v>46232</v>
      </c>
      <c r="D23" s="12">
        <v>0.33333333333333331</v>
      </c>
      <c r="E23" s="12">
        <v>0.45833333333333331</v>
      </c>
      <c r="F23" s="15" t="s">
        <v>20</v>
      </c>
      <c r="G23" s="16">
        <v>0.5</v>
      </c>
      <c r="H23" s="5">
        <v>3</v>
      </c>
      <c r="I23" s="5">
        <v>0</v>
      </c>
    </row>
    <row r="24" spans="2:9" ht="33" customHeight="1">
      <c r="B24" s="7" t="s">
        <v>32</v>
      </c>
      <c r="C24" s="15">
        <v>46233</v>
      </c>
      <c r="D24" s="12">
        <v>0.33333333333333331</v>
      </c>
      <c r="E24" s="12">
        <v>0.5</v>
      </c>
      <c r="F24" s="15" t="s">
        <v>20</v>
      </c>
      <c r="G24" s="16">
        <v>1</v>
      </c>
      <c r="H24" s="5">
        <v>4</v>
      </c>
      <c r="I24" s="5">
        <v>0</v>
      </c>
    </row>
    <row r="25" spans="2:9" ht="33" customHeight="1">
      <c r="B25" s="7" t="s">
        <v>33</v>
      </c>
      <c r="C25" s="15">
        <v>46244</v>
      </c>
      <c r="D25" s="12">
        <v>0.33333333333333331</v>
      </c>
      <c r="E25" s="12">
        <v>0.375</v>
      </c>
      <c r="F25" s="15" t="s">
        <v>11</v>
      </c>
      <c r="G25" s="16">
        <v>0.25</v>
      </c>
      <c r="H25" s="5" t="s">
        <v>34</v>
      </c>
      <c r="I25" s="5">
        <v>1</v>
      </c>
    </row>
    <row r="26" spans="2:9" ht="33" customHeight="1">
      <c r="B26" s="7" t="s">
        <v>35</v>
      </c>
      <c r="C26" s="15">
        <v>46245</v>
      </c>
      <c r="D26" s="12">
        <v>0.375</v>
      </c>
      <c r="E26" s="12">
        <v>0.41666666666666669</v>
      </c>
      <c r="F26" s="15" t="s">
        <v>11</v>
      </c>
      <c r="G26" s="16">
        <v>0.5</v>
      </c>
      <c r="H26" s="5" t="s">
        <v>34</v>
      </c>
      <c r="I26" s="5">
        <v>1</v>
      </c>
    </row>
    <row r="27" spans="2:9" ht="33" customHeight="1">
      <c r="B27" s="7" t="s">
        <v>36</v>
      </c>
      <c r="C27" s="15">
        <v>46246</v>
      </c>
      <c r="D27" s="12">
        <v>0.33333333333333331</v>
      </c>
      <c r="E27" s="12">
        <v>0.375</v>
      </c>
      <c r="F27" s="15" t="s">
        <v>11</v>
      </c>
      <c r="G27" s="16">
        <v>1</v>
      </c>
      <c r="H27" s="5" t="s">
        <v>34</v>
      </c>
      <c r="I27" s="5">
        <v>1</v>
      </c>
    </row>
    <row r="28" spans="2:9" ht="33" customHeight="1">
      <c r="B28" t="s">
        <v>37</v>
      </c>
      <c r="C28" s="13">
        <v>46247</v>
      </c>
      <c r="D28" s="12">
        <v>0.33333333333333331</v>
      </c>
      <c r="E28" s="12">
        <v>0.45833333333333331</v>
      </c>
      <c r="F28" s="15" t="s">
        <v>11</v>
      </c>
      <c r="G28" s="16">
        <v>0.5</v>
      </c>
      <c r="H28" s="5">
        <v>0</v>
      </c>
      <c r="I28" s="5">
        <v>3</v>
      </c>
    </row>
    <row r="29" spans="2:9" ht="33" customHeight="1">
      <c r="B29" t="s">
        <v>38</v>
      </c>
      <c r="C29" s="13">
        <v>46248</v>
      </c>
      <c r="D29" s="12">
        <v>0.375</v>
      </c>
      <c r="E29" s="12">
        <v>0.5</v>
      </c>
      <c r="F29" s="15" t="s">
        <v>11</v>
      </c>
      <c r="G29" s="16">
        <v>0</v>
      </c>
      <c r="H29" s="5"/>
      <c r="I29" s="5">
        <v>3</v>
      </c>
    </row>
    <row r="30" spans="2:9" ht="33" customHeight="1">
      <c r="B30" t="s">
        <v>39</v>
      </c>
      <c r="C30" s="13">
        <v>46252</v>
      </c>
      <c r="D30" s="12">
        <v>0.29166666666666669</v>
      </c>
      <c r="E30" s="12">
        <v>0.45833333333333331</v>
      </c>
      <c r="F30" s="15" t="s">
        <v>11</v>
      </c>
      <c r="G30" s="16">
        <v>1</v>
      </c>
      <c r="H30" s="5"/>
      <c r="I30" s="5">
        <v>3</v>
      </c>
    </row>
    <row r="31" spans="2:9" ht="33" customHeight="1">
      <c r="B31" t="s">
        <v>40</v>
      </c>
      <c r="C31" s="13">
        <v>46252</v>
      </c>
      <c r="D31" s="12">
        <v>0.58333333333333337</v>
      </c>
      <c r="E31" s="12">
        <v>0.75</v>
      </c>
      <c r="F31" s="15" t="s">
        <v>11</v>
      </c>
      <c r="G31" s="16">
        <v>1</v>
      </c>
      <c r="H31" s="5">
        <v>0</v>
      </c>
      <c r="I31" s="5">
        <v>4</v>
      </c>
    </row>
    <row r="32" spans="2:9" ht="33" customHeight="1">
      <c r="B32" t="s">
        <v>41</v>
      </c>
      <c r="C32" s="13">
        <v>46253</v>
      </c>
      <c r="D32" s="12">
        <v>0.33333333333333331</v>
      </c>
      <c r="E32" s="12">
        <v>0.375</v>
      </c>
      <c r="F32" s="15" t="s">
        <v>11</v>
      </c>
      <c r="G32" s="16">
        <v>1</v>
      </c>
      <c r="H32" s="5">
        <v>1</v>
      </c>
      <c r="I32" s="5">
        <v>1</v>
      </c>
    </row>
    <row r="33" spans="2:9" ht="33" customHeight="1">
      <c r="B33" t="s">
        <v>42</v>
      </c>
      <c r="C33" s="13">
        <v>46254</v>
      </c>
      <c r="D33" s="12">
        <v>0.375</v>
      </c>
      <c r="E33" s="12">
        <v>0.45833333333333331</v>
      </c>
      <c r="F33" s="15" t="s">
        <v>11</v>
      </c>
      <c r="G33" s="16">
        <v>0.5</v>
      </c>
      <c r="H33" s="5">
        <v>2</v>
      </c>
      <c r="I33" s="5">
        <v>2</v>
      </c>
    </row>
    <row r="34" spans="2:9" ht="33" customHeight="1">
      <c r="B34" t="s">
        <v>42</v>
      </c>
      <c r="C34" s="17">
        <v>46254</v>
      </c>
      <c r="D34" s="12">
        <v>0.375</v>
      </c>
      <c r="E34" s="12">
        <v>0.54166666666666663</v>
      </c>
      <c r="F34" s="15" t="s">
        <v>20</v>
      </c>
      <c r="G34" s="16">
        <v>0.5</v>
      </c>
      <c r="H34" s="5">
        <v>4</v>
      </c>
      <c r="I34" s="5">
        <v>0</v>
      </c>
    </row>
    <row r="35" spans="2:9" ht="33" customHeight="1">
      <c r="B35" t="s">
        <v>43</v>
      </c>
      <c r="C35" s="17">
        <v>46255</v>
      </c>
      <c r="D35" s="22">
        <v>0.375</v>
      </c>
      <c r="E35" s="22">
        <v>0.45833333333333331</v>
      </c>
      <c r="F35" s="15" t="s">
        <v>11</v>
      </c>
      <c r="G35" s="16">
        <v>1</v>
      </c>
      <c r="H35" s="21">
        <v>0</v>
      </c>
      <c r="I35" s="21">
        <v>2</v>
      </c>
    </row>
    <row r="36" spans="2:9" ht="33" customHeight="1">
      <c r="B36" t="s">
        <v>44</v>
      </c>
      <c r="C36" s="13">
        <v>46258</v>
      </c>
      <c r="D36" s="12">
        <v>0.375</v>
      </c>
      <c r="E36" s="12">
        <v>0.45833333333333331</v>
      </c>
      <c r="F36" t="s">
        <v>20</v>
      </c>
      <c r="G36" s="18">
        <v>1</v>
      </c>
      <c r="H36" s="5">
        <v>2</v>
      </c>
      <c r="I36" s="5">
        <v>0</v>
      </c>
    </row>
    <row r="37" spans="2:9" ht="33" customHeight="1">
      <c r="B37" t="s">
        <v>45</v>
      </c>
      <c r="C37" s="13">
        <v>46258</v>
      </c>
      <c r="D37" s="12">
        <v>0.45833333333333331</v>
      </c>
      <c r="E37" s="12">
        <v>0.54166666666666663</v>
      </c>
      <c r="F37" t="s">
        <v>20</v>
      </c>
      <c r="G37" s="18">
        <v>1</v>
      </c>
      <c r="H37" s="5">
        <v>2.5</v>
      </c>
      <c r="I37" s="5">
        <v>0</v>
      </c>
    </row>
    <row r="38" spans="2:9" ht="33" customHeight="1">
      <c r="B38" t="s">
        <v>46</v>
      </c>
      <c r="C38" s="13">
        <v>46259</v>
      </c>
      <c r="D38" s="12">
        <v>0.5</v>
      </c>
      <c r="E38" s="12">
        <v>0.70833333333333337</v>
      </c>
      <c r="F38" t="s">
        <v>11</v>
      </c>
      <c r="G38" s="18">
        <v>1</v>
      </c>
      <c r="H38" s="5">
        <v>0</v>
      </c>
      <c r="I38" s="5">
        <v>5</v>
      </c>
    </row>
    <row r="39" spans="2:9" ht="33" customHeight="1">
      <c r="B39" t="s">
        <v>47</v>
      </c>
      <c r="C39" s="13">
        <v>46260</v>
      </c>
      <c r="D39" s="12">
        <v>0.5</v>
      </c>
      <c r="E39" s="12">
        <v>0.66666666666666663</v>
      </c>
      <c r="F39" t="s">
        <v>11</v>
      </c>
      <c r="G39" s="18">
        <v>1</v>
      </c>
      <c r="H39" s="5">
        <v>0</v>
      </c>
      <c r="I39" s="5">
        <v>4</v>
      </c>
    </row>
    <row r="40" spans="2:9" ht="33" customHeight="1">
      <c r="B40" t="s">
        <v>48</v>
      </c>
      <c r="C40" s="13">
        <v>46265</v>
      </c>
      <c r="D40" s="12">
        <v>0.375</v>
      </c>
      <c r="E40" s="12">
        <v>0.45833333333333331</v>
      </c>
      <c r="F40" t="s">
        <v>20</v>
      </c>
      <c r="G40" s="18">
        <v>1</v>
      </c>
      <c r="H40" s="5">
        <v>2</v>
      </c>
      <c r="I40" s="5">
        <v>0</v>
      </c>
    </row>
    <row r="41" spans="2:9" ht="33" customHeight="1">
      <c r="B41" t="s">
        <v>49</v>
      </c>
      <c r="C41" s="13">
        <v>46265</v>
      </c>
      <c r="D41" s="12">
        <v>0.45833333333333331</v>
      </c>
      <c r="E41" s="12">
        <v>0.54166666666666663</v>
      </c>
      <c r="F41" t="s">
        <v>20</v>
      </c>
      <c r="G41" s="18">
        <v>0.5</v>
      </c>
      <c r="H41" s="5">
        <v>2</v>
      </c>
      <c r="I41" s="5">
        <v>0</v>
      </c>
    </row>
    <row r="42" spans="2:9" ht="33" customHeight="1">
      <c r="B42" t="s">
        <v>49</v>
      </c>
      <c r="C42" s="13">
        <v>46265</v>
      </c>
      <c r="D42" s="19">
        <v>0.75</v>
      </c>
      <c r="E42" s="19">
        <v>0.83333333333333337</v>
      </c>
      <c r="F42" t="s">
        <v>20</v>
      </c>
      <c r="G42" s="18">
        <v>1</v>
      </c>
      <c r="H42">
        <v>2</v>
      </c>
      <c r="I42">
        <v>0</v>
      </c>
    </row>
    <row r="43" spans="2:9" ht="33" customHeight="1">
      <c r="B43" t="s">
        <v>50</v>
      </c>
      <c r="C43" s="13">
        <v>46266</v>
      </c>
      <c r="D43" s="19">
        <v>0.33333333333333331</v>
      </c>
      <c r="E43" s="19">
        <v>0.66666666666666663</v>
      </c>
      <c r="F43" t="s">
        <v>11</v>
      </c>
      <c r="G43" s="18">
        <v>1</v>
      </c>
      <c r="H43">
        <v>0</v>
      </c>
      <c r="I43">
        <v>8</v>
      </c>
    </row>
    <row r="44" spans="2:9" ht="33" customHeight="1">
      <c r="B44" t="s">
        <v>51</v>
      </c>
      <c r="C44" s="13">
        <v>46266</v>
      </c>
      <c r="D44" s="19">
        <v>0.33333333333333331</v>
      </c>
      <c r="E44" s="19">
        <v>0.375</v>
      </c>
      <c r="F44" t="s">
        <v>20</v>
      </c>
      <c r="G44" s="18">
        <v>1</v>
      </c>
      <c r="H44">
        <v>1</v>
      </c>
      <c r="I44">
        <v>0</v>
      </c>
    </row>
    <row r="45" spans="2:9" ht="33" customHeight="1">
      <c r="B45" t="s">
        <v>52</v>
      </c>
      <c r="C45" s="13">
        <v>46266</v>
      </c>
      <c r="D45" s="19">
        <v>0.375</v>
      </c>
      <c r="E45" s="19">
        <v>0.45833333333333331</v>
      </c>
      <c r="F45" t="s">
        <v>20</v>
      </c>
      <c r="G45" s="18">
        <v>1</v>
      </c>
      <c r="H45">
        <v>2</v>
      </c>
      <c r="I45">
        <v>0</v>
      </c>
    </row>
    <row r="46" spans="2:9" ht="33" customHeight="1">
      <c r="B46" s="19" t="s">
        <v>53</v>
      </c>
      <c r="C46" s="13">
        <v>46266</v>
      </c>
      <c r="D46" s="19">
        <v>0.75</v>
      </c>
      <c r="E46" s="19">
        <v>0.91666666666666663</v>
      </c>
      <c r="F46" t="s">
        <v>20</v>
      </c>
      <c r="G46" s="18">
        <v>1</v>
      </c>
      <c r="H46">
        <v>3</v>
      </c>
      <c r="I46">
        <v>0</v>
      </c>
    </row>
    <row r="47" spans="2:9" ht="33" customHeight="1">
      <c r="B47" t="s">
        <v>54</v>
      </c>
      <c r="C47" s="13">
        <v>46267</v>
      </c>
      <c r="D47" s="19">
        <v>0.75</v>
      </c>
      <c r="E47" s="19">
        <v>0.875</v>
      </c>
      <c r="F47" t="s">
        <v>20</v>
      </c>
      <c r="G47" s="18">
        <v>1</v>
      </c>
      <c r="H47">
        <v>3</v>
      </c>
      <c r="I47">
        <v>0</v>
      </c>
    </row>
    <row r="48" spans="2:9" ht="33" customHeight="1">
      <c r="B48" t="s">
        <v>55</v>
      </c>
      <c r="C48" s="13">
        <v>46268</v>
      </c>
      <c r="D48" s="19">
        <v>0.33333333333333331</v>
      </c>
      <c r="E48" s="19">
        <v>0.66666666666666663</v>
      </c>
      <c r="F48" t="s">
        <v>11</v>
      </c>
      <c r="G48" s="18">
        <v>1</v>
      </c>
      <c r="H48">
        <v>0</v>
      </c>
      <c r="I48">
        <v>8</v>
      </c>
    </row>
    <row r="49" spans="2:9" ht="33" customHeight="1">
      <c r="B49" t="s">
        <v>56</v>
      </c>
      <c r="C49" s="13">
        <v>46268</v>
      </c>
      <c r="D49" s="19">
        <v>0.33333333333333331</v>
      </c>
      <c r="E49" s="19">
        <v>0.45833333333333331</v>
      </c>
      <c r="F49" s="20" t="s">
        <v>20</v>
      </c>
      <c r="G49" s="18">
        <v>1</v>
      </c>
      <c r="H49">
        <v>2</v>
      </c>
    </row>
    <row r="50" spans="2:9" ht="33" customHeight="1">
      <c r="B50" t="s">
        <v>57</v>
      </c>
      <c r="C50" s="13">
        <v>46268</v>
      </c>
      <c r="D50" s="19">
        <v>0.47916666666666669</v>
      </c>
      <c r="E50" s="19">
        <v>0.60416666666666663</v>
      </c>
      <c r="F50" t="s">
        <v>20</v>
      </c>
      <c r="G50" s="18">
        <v>0.5</v>
      </c>
      <c r="H50">
        <v>3</v>
      </c>
    </row>
    <row r="51" spans="2:9" ht="33" customHeight="1">
      <c r="B51" t="s">
        <v>57</v>
      </c>
      <c r="C51" s="13">
        <v>46268</v>
      </c>
      <c r="D51" s="19">
        <v>0.70833333333333337</v>
      </c>
      <c r="E51" s="19">
        <v>0.77083333333333337</v>
      </c>
      <c r="F51" t="s">
        <v>20</v>
      </c>
      <c r="G51" s="18">
        <v>1</v>
      </c>
      <c r="H51">
        <v>1.5</v>
      </c>
    </row>
    <row r="52" spans="2:9" ht="33" customHeight="1">
      <c r="B52" t="s">
        <v>51</v>
      </c>
      <c r="C52" s="13">
        <v>46269</v>
      </c>
      <c r="D52" s="19">
        <v>0.375</v>
      </c>
      <c r="E52" s="19">
        <v>0.47916666666666669</v>
      </c>
      <c r="F52" t="s">
        <v>20</v>
      </c>
      <c r="G52" s="18">
        <v>1</v>
      </c>
      <c r="H52">
        <v>2.5</v>
      </c>
    </row>
    <row r="53" spans="2:9" ht="33" customHeight="1">
      <c r="B53" t="s">
        <v>58</v>
      </c>
      <c r="C53" s="13">
        <v>46269</v>
      </c>
      <c r="D53" s="19">
        <v>0.47916666666666669</v>
      </c>
      <c r="E53" s="19">
        <v>0.5625</v>
      </c>
      <c r="F53" t="s">
        <v>20</v>
      </c>
      <c r="G53" s="18">
        <v>1</v>
      </c>
      <c r="H53">
        <v>2</v>
      </c>
    </row>
    <row r="54" spans="2:9" ht="33" customHeight="1">
      <c r="B54" t="s">
        <v>59</v>
      </c>
      <c r="C54" s="13">
        <v>46273</v>
      </c>
      <c r="D54" s="19">
        <v>0.41666666666666669</v>
      </c>
      <c r="E54" s="19">
        <v>0.66666666666666663</v>
      </c>
      <c r="F54" t="s">
        <v>11</v>
      </c>
      <c r="G54">
        <v>100</v>
      </c>
      <c r="H54">
        <v>0</v>
      </c>
      <c r="I54">
        <v>6</v>
      </c>
    </row>
    <row r="55" spans="2:9" ht="33" customHeight="1">
      <c r="B55" t="s">
        <v>60</v>
      </c>
      <c r="C55" s="13">
        <v>46274</v>
      </c>
      <c r="D55" s="19">
        <v>0.75</v>
      </c>
      <c r="E55" s="19">
        <v>0.875</v>
      </c>
      <c r="F55" t="s">
        <v>11</v>
      </c>
      <c r="G55">
        <v>100</v>
      </c>
      <c r="H55">
        <v>0</v>
      </c>
      <c r="I55">
        <v>3</v>
      </c>
    </row>
    <row r="56" spans="2:9" ht="33" customHeight="1">
      <c r="B56" t="s">
        <v>61</v>
      </c>
      <c r="C56" t="s">
        <v>62</v>
      </c>
      <c r="D56" s="19">
        <v>0.75</v>
      </c>
      <c r="E56" s="19">
        <v>0.91666666666666663</v>
      </c>
      <c r="F56" t="s">
        <v>11</v>
      </c>
      <c r="G56">
        <v>100</v>
      </c>
      <c r="H56">
        <v>0</v>
      </c>
      <c r="I56">
        <v>4</v>
      </c>
    </row>
    <row r="57" spans="2:9" ht="33" customHeight="1">
      <c r="B57" t="s">
        <v>63</v>
      </c>
      <c r="C57" s="13">
        <v>46290</v>
      </c>
      <c r="D57" s="19">
        <v>0.625</v>
      </c>
      <c r="E57" s="19">
        <v>0.70833333333333337</v>
      </c>
      <c r="F57" t="s">
        <v>11</v>
      </c>
      <c r="G57">
        <v>100</v>
      </c>
      <c r="H57">
        <v>2</v>
      </c>
      <c r="I57">
        <v>2</v>
      </c>
    </row>
    <row r="58" spans="2:9" ht="33" customHeight="1">
      <c r="B58" t="s">
        <v>64</v>
      </c>
      <c r="C58" s="13">
        <v>46296</v>
      </c>
      <c r="D58" s="19">
        <v>0.625</v>
      </c>
      <c r="E58" s="19">
        <v>0.70833333333333337</v>
      </c>
      <c r="F58" t="s">
        <v>11</v>
      </c>
      <c r="G58">
        <v>100</v>
      </c>
      <c r="H58">
        <v>0</v>
      </c>
      <c r="I58">
        <v>2</v>
      </c>
    </row>
    <row r="59" spans="2:9" ht="33" customHeight="1">
      <c r="B59" t="s">
        <v>65</v>
      </c>
      <c r="C59" s="13">
        <v>46302</v>
      </c>
      <c r="D59" s="19">
        <v>0.66666666666666696</v>
      </c>
      <c r="E59" s="19">
        <v>0.75</v>
      </c>
      <c r="F59" t="s">
        <v>11</v>
      </c>
      <c r="G59">
        <v>100</v>
      </c>
      <c r="H59">
        <v>0</v>
      </c>
      <c r="I59">
        <v>2</v>
      </c>
    </row>
    <row r="60" spans="2:9" ht="33" customHeight="1">
      <c r="B60" t="s">
        <v>66</v>
      </c>
      <c r="C60" s="13">
        <v>46303</v>
      </c>
      <c r="D60" s="19">
        <v>0.66666666666666663</v>
      </c>
      <c r="E60" s="19">
        <v>0.83333333333333337</v>
      </c>
      <c r="F60" t="s">
        <v>11</v>
      </c>
      <c r="G60">
        <v>100</v>
      </c>
      <c r="H60">
        <v>0</v>
      </c>
      <c r="I60">
        <v>4</v>
      </c>
    </row>
    <row r="61" spans="2:9" ht="33" customHeight="1">
      <c r="B61" t="s">
        <v>67</v>
      </c>
      <c r="C61" s="13">
        <v>46303</v>
      </c>
      <c r="D61" s="19">
        <v>0.83333333333333337</v>
      </c>
      <c r="E61" s="19">
        <v>0</v>
      </c>
      <c r="F61" t="s">
        <v>11</v>
      </c>
      <c r="G61">
        <v>25</v>
      </c>
      <c r="H61">
        <v>0</v>
      </c>
      <c r="I61">
        <v>4</v>
      </c>
    </row>
    <row r="62" spans="2:9" ht="33" customHeight="1">
      <c r="B62" t="s">
        <v>68</v>
      </c>
      <c r="C62" s="13">
        <v>46304</v>
      </c>
      <c r="D62" s="19">
        <v>0.33333333333333331</v>
      </c>
      <c r="E62" s="19">
        <v>0.41666666666666669</v>
      </c>
      <c r="F62" t="s">
        <v>11</v>
      </c>
      <c r="H62">
        <v>0</v>
      </c>
      <c r="I62">
        <v>2</v>
      </c>
    </row>
    <row r="63" spans="2:9" ht="33" customHeight="1">
      <c r="B63" t="s">
        <v>69</v>
      </c>
      <c r="C63" s="13">
        <v>46304</v>
      </c>
      <c r="D63" s="19">
        <v>0.41666666666666669</v>
      </c>
      <c r="E63" s="19">
        <v>0.5</v>
      </c>
      <c r="F63" t="s">
        <v>11</v>
      </c>
      <c r="H63">
        <v>0</v>
      </c>
      <c r="I63">
        <v>2</v>
      </c>
    </row>
  </sheetData>
  <sheetProtection formatCells="0" formatColumns="0" formatRows="0" insertColumns="0" insertRows="0" deleteColumns="0" deleteRows="0" selectLockedCells="1" sort="0" autoFilter="0"/>
  <conditionalFormatting sqref="G3:G41">
    <cfRule type="dataBar" priority="6">
      <dataBar>
        <cfvo type="num" val="0"/>
        <cfvo type="num" val="1"/>
        <color theme="5"/>
      </dataBar>
      <extLst>
        <ext xmlns:x14="http://schemas.microsoft.com/office/spreadsheetml/2009/9/main" uri="{B025F937-C7B1-47D3-B67F-A62EFF666E3E}">
          <x14:id>{E45B70CA-B6A0-4E88-BB95-1D31570318B9}</x14:id>
        </ext>
      </extLst>
    </cfRule>
  </conditionalFormatting>
  <dataValidations xWindow="542" yWindow="341" count="7">
    <dataValidation allowBlank="1" showInputMessage="1" showErrorMessage="1" prompt="Erstellen Sie eine Liste mit Vorgängen zusammen mit dem Anfangs- und Fälligkeitsdatum für jeden Vorgang sowie Notizen. Ein Datenbalken zeigt den Prozentsatz der Fertigstellung an.  Alle zu 100 % abgeschlossenen Vorgänge sind mit einem Symbol versehen." sqref="A1" xr:uid="{00000000-0002-0000-0000-000000000000}"/>
    <dataValidation allowBlank="1" showInputMessage="1" showErrorMessage="1" prompt="Geben Sie in dieser Spalte einen Namen für jeden Vorgang an." sqref="B2" xr:uid="{00000000-0002-0000-0000-000001000000}"/>
    <dataValidation allowBlank="1" showInputMessage="1" showErrorMessage="1" prompt="Geben Sie in dieser Spalte das Anfangsdatum für jeden Vorgang an." sqref="C2:E2" xr:uid="{00000000-0002-0000-0000-000002000000}"/>
    <dataValidation allowBlank="1" showInputMessage="1" showErrorMessage="1" prompt="Geben Sie in dieser Spalte das Fälligkeitsdatum für jeden Vorgang an." sqref="F2" xr:uid="{00000000-0002-0000-0000-000003000000}"/>
    <dataValidation allowBlank="1" showInputMessage="1" showErrorMessage="1" prompt="Geben Sie einen Wert zwischen 0 und 100 an, wobei 100 100 % abgeschlossen bedeutet. Für Vorgänge, die zu 100 % abgeschlossen sind, wird rechts ein Symbol in Spalte F angezeigt." sqref="G2" xr:uid="{00000000-0002-0000-0000-000004000000}"/>
    <dataValidation allowBlank="1" showInputMessage="1" showErrorMessage="1" prompt="Geben Sie Notizen zu den einzelnen Vorgängen in dieser Spalte ein." sqref="H2:I2 K2:L2 K4:K7" xr:uid="{644AD207-F8E6-4E6C-9B4E-51A68BBCF3D9}"/>
    <dataValidation type="list" errorStyle="warning" allowBlank="1" showInputMessage="1" showErrorMessage="1" error="Wählen Sie einen Wert in der Dropdownliste aus. Oder geben Sie einen der folgenden ein: 0 %, 25 %, 50 %, 75 % oder 100 %" sqref="G3:G41" xr:uid="{00000000-0002-0000-0000-000007000000}">
      <formula1>"0%,25%,50%,75%,100%"</formula1>
    </dataValidation>
  </dataValidations>
  <printOptions horizontalCentered="1"/>
  <pageMargins left="0.4" right="0.4" top="0.4" bottom="0.4" header="0.25" footer="0.25"/>
  <pageSetup fitToHeight="0" orientation="landscape" r:id="rId1"/>
  <headerFooter differentFirst="1">
    <oddFooter>Page &amp;P of &amp;N</oddFooter>
  </headerFooter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45B70CA-B6A0-4E88-BB95-1D31570318B9}">
            <x14:dataBar minLength="0" maxLength="100" border="1" gradient="0" negativeBarBorderColorSameAsPositive="0">
              <x14:cfvo type="num">
                <xm:f>0</xm:f>
              </x14:cfvo>
              <x14:cfvo type="num">
                <xm:f>1</xm:f>
              </x14:cfvo>
              <x14:borderColor theme="5"/>
              <x14:negativeFillColor rgb="FFFF0000"/>
              <x14:negativeBorderColor rgb="FFFF0000"/>
              <x14:axisColor rgb="FF000000"/>
            </x14:dataBar>
          </x14:cfRule>
          <xm:sqref>G3:G41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emplate>TM16390869</Template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Laussermayer Mattias (s5ahel)</cp:lastModifiedBy>
  <cp:revision/>
  <dcterms:created xsi:type="dcterms:W3CDTF">2026-07-03T06:21:14Z</dcterms:created>
  <dcterms:modified xsi:type="dcterms:W3CDTF">2026-10-09T09:17:27Z</dcterms:modified>
  <cp:category/>
  <cp:contentStatus/>
</cp:coreProperties>
</file>