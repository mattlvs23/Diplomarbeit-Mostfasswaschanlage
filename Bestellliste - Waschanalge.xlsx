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lamat\Documents\HTBLA Steyr\Diplomarbeit\"/>
    </mc:Choice>
  </mc:AlternateContent>
  <xr:revisionPtr revIDLastSave="0" documentId="13_ncr:1_{0ECFC3BD-CBED-4C51-BFBA-CD979AE029F5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Bestelliste" sheetId="1" r:id="rId1"/>
    <sheet name="I_O_List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1" l="1"/>
  <c r="F11" i="1"/>
  <c r="F10" i="1"/>
  <c r="F20" i="1"/>
  <c r="F21" i="1"/>
  <c r="F22" i="1"/>
  <c r="F18" i="1"/>
  <c r="F19" i="1"/>
  <c r="F17" i="1"/>
  <c r="F27" i="1" l="1"/>
</calcChain>
</file>

<file path=xl/sharedStrings.xml><?xml version="1.0" encoding="utf-8"?>
<sst xmlns="http://schemas.openxmlformats.org/spreadsheetml/2006/main" count="243" uniqueCount="140">
  <si>
    <t>Übersicht Bestellkomponenten Waschanalge</t>
  </si>
  <si>
    <t>Link</t>
  </si>
  <si>
    <t>Komponente</t>
  </si>
  <si>
    <t>Menge</t>
  </si>
  <si>
    <t>Einheit</t>
  </si>
  <si>
    <t>Preis [€]</t>
  </si>
  <si>
    <t>Gesamt [€]</t>
  </si>
  <si>
    <t>Herstelle</t>
  </si>
  <si>
    <t>Bestell Nr. [W-xxxx]</t>
  </si>
  <si>
    <t>W-</t>
  </si>
  <si>
    <t>Reinigungsbehälter</t>
  </si>
  <si>
    <t>Stk</t>
  </si>
  <si>
    <t>x</t>
  </si>
  <si>
    <t>&lt;= Bereits vorhanden</t>
  </si>
  <si>
    <t>Temperaturfühler</t>
  </si>
  <si>
    <t>Füllstandssensor</t>
  </si>
  <si>
    <t>Heizstäbe</t>
  </si>
  <si>
    <t>Motor - Pumpe</t>
  </si>
  <si>
    <t>3 - Weg Umschaltventil</t>
  </si>
  <si>
    <t>Anmerkungen</t>
  </si>
  <si>
    <t>Schaltschrank</t>
  </si>
  <si>
    <t>Suchen</t>
  </si>
  <si>
    <t>Gefunden / Vorhanden</t>
  </si>
  <si>
    <t xml:space="preserve">Bedienpult </t>
  </si>
  <si>
    <t>Eigenbau?</t>
  </si>
  <si>
    <t>Übersicht Bestellkomponenten Schaltschrank</t>
  </si>
  <si>
    <t>W-01</t>
  </si>
  <si>
    <t>W-02</t>
  </si>
  <si>
    <t>W-03</t>
  </si>
  <si>
    <t>W-04</t>
  </si>
  <si>
    <t>W-05</t>
  </si>
  <si>
    <t>W-06</t>
  </si>
  <si>
    <t>W-07</t>
  </si>
  <si>
    <t>W-08</t>
  </si>
  <si>
    <t>W-09</t>
  </si>
  <si>
    <t>W-10</t>
  </si>
  <si>
    <t>W-08.1</t>
  </si>
  <si>
    <t>W-08.2</t>
  </si>
  <si>
    <t>W-08.3</t>
  </si>
  <si>
    <t>W-08.4</t>
  </si>
  <si>
    <t>W-08.5</t>
  </si>
  <si>
    <t>W-08.6</t>
  </si>
  <si>
    <t>W-08.7</t>
  </si>
  <si>
    <t>W-08.8</t>
  </si>
  <si>
    <t>W-08.9</t>
  </si>
  <si>
    <t>W-08.10</t>
  </si>
  <si>
    <t>Hauptschalter (Abschließbar)</t>
  </si>
  <si>
    <t>FI - Hauptsicherung (FI Typ B 40A / 30mA)</t>
  </si>
  <si>
    <t>24V AC-DC Netzteil</t>
  </si>
  <si>
    <t>Koppelrelais</t>
  </si>
  <si>
    <t>Schütz - Heizstäbe?</t>
  </si>
  <si>
    <t>Klemmen</t>
  </si>
  <si>
    <t>Kabel / Drähte</t>
  </si>
  <si>
    <t>Unklar?</t>
  </si>
  <si>
    <t>LS - ja nach Komponente Einen</t>
  </si>
  <si>
    <t>Firma GoodLack</t>
  </si>
  <si>
    <t>Siemens</t>
  </si>
  <si>
    <t>Eltako</t>
  </si>
  <si>
    <t>SPS LOGO! 12/24RCE</t>
  </si>
  <si>
    <t>Umschaltventil Pneumatisch</t>
  </si>
  <si>
    <t>Pneumatikventil Elektrisch</t>
  </si>
  <si>
    <t>Firma</t>
  </si>
  <si>
    <t>Exleco</t>
  </si>
  <si>
    <t>Händisch</t>
  </si>
  <si>
    <t>Luhamer</t>
  </si>
  <si>
    <t xml:space="preserve">Stk </t>
  </si>
  <si>
    <t>KX-Energy</t>
  </si>
  <si>
    <t>SPS Logo:</t>
  </si>
  <si>
    <t>Versorgung +</t>
  </si>
  <si>
    <t>L+</t>
  </si>
  <si>
    <t>+24V</t>
  </si>
  <si>
    <t>Versorgung -</t>
  </si>
  <si>
    <t>M</t>
  </si>
  <si>
    <t>+0V</t>
  </si>
  <si>
    <t>DE1</t>
  </si>
  <si>
    <t>I1</t>
  </si>
  <si>
    <t>DE2</t>
  </si>
  <si>
    <t>I2</t>
  </si>
  <si>
    <t>DE3</t>
  </si>
  <si>
    <t>I3</t>
  </si>
  <si>
    <t>DE4</t>
  </si>
  <si>
    <t>DE5</t>
  </si>
  <si>
    <t>DE6</t>
  </si>
  <si>
    <t>DE7</t>
  </si>
  <si>
    <t>DE8</t>
  </si>
  <si>
    <t>I4</t>
  </si>
  <si>
    <t>I5</t>
  </si>
  <si>
    <t>I6</t>
  </si>
  <si>
    <t>I7</t>
  </si>
  <si>
    <t>I8</t>
  </si>
  <si>
    <t>Zusatzmodul:</t>
  </si>
  <si>
    <t>DA1</t>
  </si>
  <si>
    <t>DA2</t>
  </si>
  <si>
    <t>DA3</t>
  </si>
  <si>
    <t>DA4</t>
  </si>
  <si>
    <t>Q1</t>
  </si>
  <si>
    <t>Q2</t>
  </si>
  <si>
    <t>Q3</t>
  </si>
  <si>
    <t>Q4</t>
  </si>
  <si>
    <t>DA5</t>
  </si>
  <si>
    <t>DA6</t>
  </si>
  <si>
    <t>DA7</t>
  </si>
  <si>
    <t>DA8</t>
  </si>
  <si>
    <t>Füllstand</t>
  </si>
  <si>
    <t>Temperatur</t>
  </si>
  <si>
    <t>Verbindung:</t>
  </si>
  <si>
    <t>Art?</t>
  </si>
  <si>
    <t>MS1</t>
  </si>
  <si>
    <t>HZS1</t>
  </si>
  <si>
    <t>1=EVS3-24VB2 / 2 =MS1+UV01-Q2/A1</t>
  </si>
  <si>
    <t>1=EVS3-24VB1 / 2 =HZS1+UV01-Q3/A1</t>
  </si>
  <si>
    <t>Not-Aus</t>
  </si>
  <si>
    <t>.=F+UV1-Q1 /A1</t>
  </si>
  <si>
    <t>Motor</t>
  </si>
  <si>
    <t>HZS2</t>
  </si>
  <si>
    <t>HZS3</t>
  </si>
  <si>
    <t>Zusatz:</t>
  </si>
  <si>
    <t>.=EVS3-0VA2</t>
  </si>
  <si>
    <t>.=EVS3-24VA2</t>
  </si>
  <si>
    <t>Abfrage per Koppelrelai</t>
  </si>
  <si>
    <t>Ventil (Pneumatik)ansteuerung V1</t>
  </si>
  <si>
    <t>Ventil (Pneumatik)ansteuerung V2</t>
  </si>
  <si>
    <t>Ventil (Pneumatik)ansteuerung V3</t>
  </si>
  <si>
    <t>Ventil (Pneumatik)ansteuerung V4</t>
  </si>
  <si>
    <t>Ventil (Pneumatik)ansteuerung V5</t>
  </si>
  <si>
    <t>Frei</t>
  </si>
  <si>
    <t>Belegt</t>
  </si>
  <si>
    <t>Taster WA01</t>
  </si>
  <si>
    <t>Taster WA02</t>
  </si>
  <si>
    <t>Taster WA03</t>
  </si>
  <si>
    <t>Taster WA04</t>
  </si>
  <si>
    <t>Taster WA05</t>
  </si>
  <si>
    <t>QM1</t>
  </si>
  <si>
    <t>QM2</t>
  </si>
  <si>
    <t>QM3</t>
  </si>
  <si>
    <t>QM4</t>
  </si>
  <si>
    <t>QM5</t>
  </si>
  <si>
    <t>Taster Ventile Wasser</t>
  </si>
  <si>
    <t>Taster Ventile Reiniger</t>
  </si>
  <si>
    <t>Taster Ventile 3 Weg eventuell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</si>
</sst>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[$€-1];[Red]\-#,##0.00\ [$€-1]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rgb="FF006100"/>
      <name val="Calibri"/>
      <family val="2"/>
      <scheme val="minor"/>
    </font>
    <font>
      <b/>
      <i/>
      <sz val="11"/>
      <color rgb="FF9C0006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1" fillId="5" borderId="0" applyNumberFormat="0" applyBorder="0" applyAlignment="0" applyProtection="0"/>
    <xf numFmtId="0" fontId="6" fillId="0" borderId="0" applyNumberFormat="0" applyFill="0" applyBorder="0" applyAlignment="0" applyProtection="0"/>
    <xf numFmtId="0" fontId="1" fillId="6" borderId="0" applyNumberFormat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4" fillId="4" borderId="1" xfId="3" applyBorder="1" applyAlignment="1">
      <alignment horizontal="center"/>
    </xf>
    <xf numFmtId="0" fontId="2" fillId="2" borderId="1" xfId="1" applyBorder="1" applyAlignment="1">
      <alignment horizontal="center"/>
    </xf>
    <xf numFmtId="0" fontId="3" fillId="3" borderId="1" xfId="2" applyBorder="1" applyAlignment="1">
      <alignment horizontal="center"/>
    </xf>
    <xf numFmtId="0" fontId="1" fillId="5" borderId="1" xfId="4" applyBorder="1"/>
    <xf numFmtId="0" fontId="1" fillId="5" borderId="1" xfId="4" applyBorder="1" applyAlignment="1">
      <alignment horizontal="center"/>
    </xf>
    <xf numFmtId="0" fontId="1" fillId="5" borderId="2" xfId="4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0" fontId="6" fillId="0" borderId="1" xfId="5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6" fillId="0" borderId="0" xfId="5" applyAlignment="1">
      <alignment horizontal="center"/>
    </xf>
    <xf numFmtId="0" fontId="1" fillId="6" borderId="0" xfId="6" applyAlignment="1">
      <alignment horizontal="center"/>
    </xf>
    <xf numFmtId="0" fontId="2" fillId="2" borderId="0" xfId="1" applyAlignment="1">
      <alignment horizontal="center"/>
    </xf>
    <xf numFmtId="0" fontId="7" fillId="0" borderId="1" xfId="0" applyFont="1" applyBorder="1" applyAlignment="1">
      <alignment vertical="center"/>
    </xf>
    <xf numFmtId="0" fontId="7" fillId="0" borderId="1" xfId="0" applyFont="1" applyBorder="1"/>
    <xf numFmtId="0" fontId="8" fillId="2" borderId="1" xfId="1" applyFont="1" applyBorder="1" applyAlignment="1">
      <alignment vertical="top" wrapText="1"/>
    </xf>
    <xf numFmtId="0" fontId="7" fillId="0" borderId="1" xfId="0" applyFont="1" applyBorder="1" applyAlignment="1">
      <alignment vertical="top"/>
    </xf>
    <xf numFmtId="0" fontId="7" fillId="0" borderId="1" xfId="0" applyFont="1" applyBorder="1" applyAlignment="1">
      <alignment vertical="top" wrapText="1"/>
    </xf>
    <xf numFmtId="0" fontId="9" fillId="3" borderId="1" xfId="2" applyFont="1" applyBorder="1" applyAlignment="1">
      <alignment vertical="top" wrapText="1"/>
    </xf>
    <xf numFmtId="0" fontId="9" fillId="3" borderId="1" xfId="2" applyFont="1" applyBorder="1" applyAlignment="1">
      <alignment vertical="top"/>
    </xf>
    <xf numFmtId="0" fontId="8" fillId="2" borderId="1" xfId="1" applyFont="1" applyBorder="1" applyAlignment="1">
      <alignment vertical="top"/>
    </xf>
    <xf numFmtId="0" fontId="3" fillId="3" borderId="1" xfId="2" applyBorder="1" applyAlignment="1">
      <alignment vertical="top" wrapText="1"/>
    </xf>
  </cellXfs>
  <cellStyles count="7">
    <cellStyle name="40% - Accent1" xfId="4" builtinId="31"/>
    <cellStyle name="60% - Accent6" xfId="6" builtinId="52"/>
    <cellStyle name="Bad" xfId="2" builtinId="27"/>
    <cellStyle name="Good" xfId="1" builtinId="26"/>
    <cellStyle name="Hyperlink" xfId="5" builtinId="8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235323</xdr:colOff>
      <xdr:row>21</xdr:row>
      <xdr:rowOff>134471</xdr:rowOff>
    </xdr:from>
    <xdr:to>
      <xdr:col>7</xdr:col>
      <xdr:colOff>1436968</xdr:colOff>
      <xdr:row>50</xdr:row>
      <xdr:rowOff>11400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23D3CB2-918D-681B-D4F3-02FCE3DFC3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59323" y="4146177"/>
          <a:ext cx="7745880" cy="54014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mazon.de/EXLECO-Pneumatisches-Magnetventil-Elektrisches-Steckverbinder/dp/B0DPRSSKW9?source=ps-sl-shoppingads-lpcontext&amp;ref_=fplfs&amp;psc=1&amp;shipTo=AT&amp;language=de_DE&amp;smid=A275FVX7G7W60C&amp;utm_source=chatgpt.com" TargetMode="External"/><Relationship Id="rId3" Type="http://schemas.openxmlformats.org/officeDocument/2006/relationships/hyperlink" Target="https://www.elektroshopwagner.at/de/p/siemens-3rt2018-1bb42-leistungsschuetz-7-5kw-400v-1oe-dc24v-3-polig_296083" TargetMode="External"/><Relationship Id="rId7" Type="http://schemas.openxmlformats.org/officeDocument/2006/relationships/hyperlink" Target="https://www.conrad.at/de/p/doepke-09914113-dls6h-b16a-3polig-6ka-leitungsschutzschalter-3polig-16-a-230-v-400-v-2136357.html?refresh=true" TargetMode="External"/><Relationship Id="rId2" Type="http://schemas.openxmlformats.org/officeDocument/2006/relationships/hyperlink" Target="https://www.elektroshopwagner.at/de/p/eltako-kr09-230v-koppelrelais-1-schliesser-6a-22100730_180571" TargetMode="External"/><Relationship Id="rId1" Type="http://schemas.openxmlformats.org/officeDocument/2006/relationships/hyperlink" Target="https://www.conrad.at/de/p/siemens-6ep3332-6sb00-0ay0-6ep33326sb000ay0-sps-powermodul-1628668.html?utm_source=google-shopping-de&amp;utm_medium=search&amp;utm_campaign=shopping-online-de&amp;utm_content=shopping-ad_cpc&amp;WT.srch=1&amp;ef_id=Cj0KCQjwjvfSBhDpARIsAEiOpSvIrbKJWWfviizIG5J7oa0TtBXLt5A8SSHJeON0ZXojVhJ_DfDVMBYaAlduEALw_wcB%3AG%3As&amp;utm_source=google&amp;utm_medium=cpc&amp;utm_campaign=SH+-+AT+-+PMax+-+Middle&amp;utm_id=22794495594&amp;gad_source=1&amp;gad_campaignid=22800357755&amp;gclid=Cj0KCQjwjvfSBhDpARIsAEiOpSvIrbKJWWfviizIG5J7oa0TtBXLt5A8SSHJeON0ZXojVhJ_DfDVMBYaAlduEALw_wcB&amp;refresh=true" TargetMode="External"/><Relationship Id="rId6" Type="http://schemas.openxmlformats.org/officeDocument/2006/relationships/hyperlink" Target="https://www.automation24.at/siemens-logo-24rce-6ed1052-1hb08-0ba3?previewPriceListId=1&amp;gad_source=1&amp;gad_campaignid=23832567306&amp;gclid=CjwKCAjw1vXTBhB-EiwAEKr_k02KJ8Wqw2t55o2cDa9WWbTPJS0PTj7F9Lqxn672MMeWy7KicJmzpBoCAxcQAvD_BwE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www.elektroshopwagner.at/de/p/siemens-3ld2xxx-0tk53-sentron-lasttrennschalter-3ld-not-aus-schalter-3-polig-frontbefestigt-drehantrieb-rot-gelb-4-loch-befestigung_m7199" TargetMode="External"/><Relationship Id="rId10" Type="http://schemas.openxmlformats.org/officeDocument/2006/relationships/hyperlink" Target="https://www.amazon.de/dp/B0DM8RSYKP?ref=cm_sw_r_cso_wa_apan_dp_JVD3FXQCE7F8NAQX3K5X&amp;ref_=cm_sw_r_cso_wa_apan_dp_JVD3FXQCE7F8NAQX3K5X&amp;social_share=cm_sw_r_cso_wa_apan_dp_JVD3FXQCE7F8NAQX3K5X&amp;th=1" TargetMode="External"/><Relationship Id="rId4" Type="http://schemas.openxmlformats.org/officeDocument/2006/relationships/hyperlink" Target="https://www.elektroshopwagner.at/de/p/siemens-5sv3344-4kk14-fi-schutzschalter-4-polig-typ-b-kurzzeitverzoegert-40a-30ma-400v_239544" TargetMode="External"/><Relationship Id="rId9" Type="http://schemas.openxmlformats.org/officeDocument/2006/relationships/hyperlink" Target="https://www.amazon.de/IDGTTLDF-pneumatische-Kugelhahn-Edelstahl-pneumatischem/dp/B0FR8L57LS/ref=sr_1_3?__mk_de_DE=&#197;M&#197;&#381;&#213;&#209;&amp;crid=38RAHL9E9CX8I&amp;dib=eyJ2IjoiMSJ9.XqRoVwhkEzggN-WPztawNf6V_omB2seCv6zSebkW9wbl6t3iwf6RlawfPrNhKYpHTpE2Nbf1bbfsK-tyPeoiGSNi_HkapFzKUTzqnEc2NXqq_GuvHTfJEUVDKoBdzKo1c-jssP2Vx5m6htshDKG4lw.7h3-xzl1RhaupOe4B4ike9-asufm_Iw4nFPURXkc8a4&amp;dib_tag=se&amp;keywords=edelstahl+hahn+mit+pneumatischem+antrieb&amp;qid=1786691526&amp;s=diy&amp;sprefix=edelsthal+hahn+mit+pneumatischen+antrieb%2Cdiy%2C127&amp;sr=1-3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2"/>
  <sheetViews>
    <sheetView topLeftCell="A7" zoomScale="115" zoomScaleNormal="115" workbookViewId="0">
      <selection activeCell="H17" sqref="H17"/>
    </sheetView>
  </sheetViews>
  <sheetFormatPr defaultRowHeight="15" x14ac:dyDescent="0.25"/>
  <cols>
    <col min="2" max="2" width="35.5703125" style="1" bestFit="1" customWidth="1"/>
    <col min="3" max="3" width="10.28515625" style="1" bestFit="1" customWidth="1"/>
    <col min="4" max="4" width="7.28515625" style="1" bestFit="1" customWidth="1"/>
    <col min="5" max="8" width="9.140625" style="1"/>
    <col min="12" max="12" width="21.85546875" bestFit="1" customWidth="1"/>
  </cols>
  <sheetData>
    <row r="1" spans="1:12" x14ac:dyDescent="0.25">
      <c r="A1" s="7" t="s">
        <v>0</v>
      </c>
      <c r="B1" s="9"/>
      <c r="C1"/>
      <c r="D1"/>
      <c r="E1"/>
    </row>
    <row r="2" spans="1:12" x14ac:dyDescent="0.25">
      <c r="A2" s="2"/>
      <c r="B2" s="10"/>
    </row>
    <row r="3" spans="1:12" x14ac:dyDescent="0.25">
      <c r="A3" s="2" t="s">
        <v>8</v>
      </c>
      <c r="B3" s="3" t="s">
        <v>2</v>
      </c>
      <c r="C3" s="11" t="s">
        <v>3</v>
      </c>
      <c r="D3" s="11" t="s">
        <v>4</v>
      </c>
      <c r="E3" s="11" t="s">
        <v>5</v>
      </c>
      <c r="F3" s="11" t="s">
        <v>6</v>
      </c>
      <c r="G3" s="11" t="s">
        <v>7</v>
      </c>
      <c r="H3" s="11" t="s">
        <v>1</v>
      </c>
      <c r="I3" s="11" t="s">
        <v>19</v>
      </c>
      <c r="J3" s="12"/>
      <c r="K3" s="12"/>
      <c r="L3" s="12"/>
    </row>
    <row r="4" spans="1:12" x14ac:dyDescent="0.25">
      <c r="A4" s="2" t="s">
        <v>26</v>
      </c>
      <c r="B4" s="4" t="s">
        <v>10</v>
      </c>
      <c r="C4" s="3">
        <v>1</v>
      </c>
      <c r="D4" s="3" t="s">
        <v>11</v>
      </c>
      <c r="E4" s="3" t="s">
        <v>12</v>
      </c>
      <c r="F4" s="3" t="s">
        <v>12</v>
      </c>
      <c r="G4" s="3" t="s">
        <v>12</v>
      </c>
      <c r="H4" s="3" t="s">
        <v>12</v>
      </c>
      <c r="I4" s="2" t="s">
        <v>13</v>
      </c>
      <c r="J4" s="2"/>
      <c r="K4" s="2"/>
      <c r="L4" s="5" t="s">
        <v>22</v>
      </c>
    </row>
    <row r="5" spans="1:12" x14ac:dyDescent="0.25">
      <c r="A5" s="2" t="s">
        <v>27</v>
      </c>
      <c r="B5" s="6" t="s">
        <v>14</v>
      </c>
      <c r="C5" s="3"/>
      <c r="D5" s="3"/>
      <c r="E5" s="3"/>
      <c r="F5" s="3"/>
      <c r="G5" s="3"/>
      <c r="H5" s="3"/>
      <c r="I5" s="2" t="s">
        <v>64</v>
      </c>
      <c r="J5" s="2"/>
      <c r="K5" s="2"/>
      <c r="L5" s="6" t="s">
        <v>21</v>
      </c>
    </row>
    <row r="6" spans="1:12" x14ac:dyDescent="0.25">
      <c r="A6" s="2" t="s">
        <v>28</v>
      </c>
      <c r="B6" s="6" t="s">
        <v>15</v>
      </c>
      <c r="C6" s="3"/>
      <c r="D6" s="3"/>
      <c r="E6" s="3"/>
      <c r="F6" s="3"/>
      <c r="G6" s="3"/>
      <c r="H6" s="3"/>
      <c r="I6" s="2" t="s">
        <v>64</v>
      </c>
      <c r="J6" s="2"/>
      <c r="K6" s="2"/>
      <c r="L6" s="4" t="s">
        <v>53</v>
      </c>
    </row>
    <row r="7" spans="1:12" x14ac:dyDescent="0.25">
      <c r="A7" s="2" t="s">
        <v>29</v>
      </c>
      <c r="B7" s="5" t="s">
        <v>16</v>
      </c>
      <c r="C7" s="3">
        <v>3</v>
      </c>
      <c r="D7" s="3" t="s">
        <v>65</v>
      </c>
      <c r="E7" s="14">
        <v>32.270000000000003</v>
      </c>
      <c r="F7" s="14">
        <f>SUM(C7*E7)</f>
        <v>96.81</v>
      </c>
      <c r="G7" s="3" t="s">
        <v>66</v>
      </c>
      <c r="H7" s="13" t="s">
        <v>1</v>
      </c>
      <c r="I7" s="2" t="s">
        <v>64</v>
      </c>
      <c r="J7" s="2"/>
      <c r="K7" s="2"/>
      <c r="L7" s="2"/>
    </row>
    <row r="8" spans="1:12" x14ac:dyDescent="0.25">
      <c r="A8" s="2" t="s">
        <v>30</v>
      </c>
      <c r="B8" s="5" t="s">
        <v>17</v>
      </c>
      <c r="C8" s="3">
        <v>1</v>
      </c>
      <c r="D8" s="3" t="s">
        <v>11</v>
      </c>
      <c r="E8" s="3" t="s">
        <v>12</v>
      </c>
      <c r="F8" s="3" t="s">
        <v>12</v>
      </c>
      <c r="G8" s="3" t="s">
        <v>12</v>
      </c>
      <c r="H8" s="3" t="s">
        <v>12</v>
      </c>
      <c r="I8" s="2" t="s">
        <v>13</v>
      </c>
      <c r="J8" s="2"/>
      <c r="K8" s="2"/>
      <c r="L8" s="2"/>
    </row>
    <row r="9" spans="1:12" x14ac:dyDescent="0.25">
      <c r="A9" s="2" t="s">
        <v>31</v>
      </c>
      <c r="B9" s="6" t="s">
        <v>18</v>
      </c>
      <c r="C9" s="3"/>
      <c r="D9" s="3"/>
      <c r="E9" s="3"/>
      <c r="F9" s="3"/>
      <c r="G9" s="3"/>
      <c r="H9" s="3"/>
      <c r="I9" s="2" t="s">
        <v>63</v>
      </c>
      <c r="J9" s="2"/>
      <c r="K9" s="2"/>
      <c r="L9" s="2"/>
    </row>
    <row r="10" spans="1:12" x14ac:dyDescent="0.25">
      <c r="A10" s="2" t="s">
        <v>32</v>
      </c>
      <c r="B10" s="5" t="s">
        <v>59</v>
      </c>
      <c r="C10" s="3">
        <v>2</v>
      </c>
      <c r="D10" s="3" t="s">
        <v>11</v>
      </c>
      <c r="E10" s="3">
        <v>167.35</v>
      </c>
      <c r="F10" s="3">
        <f>PRODUCT(C10,E10)</f>
        <v>334.7</v>
      </c>
      <c r="G10" s="3"/>
      <c r="H10" s="13" t="s">
        <v>1</v>
      </c>
      <c r="I10" s="2"/>
      <c r="J10" s="2"/>
      <c r="K10" s="2"/>
      <c r="L10" s="2"/>
    </row>
    <row r="11" spans="1:12" x14ac:dyDescent="0.25">
      <c r="A11" s="2" t="s">
        <v>33</v>
      </c>
      <c r="B11" s="17" t="s">
        <v>60</v>
      </c>
      <c r="C11" s="3">
        <v>4</v>
      </c>
      <c r="D11" s="3" t="s">
        <v>11</v>
      </c>
      <c r="E11" s="3">
        <v>16.13</v>
      </c>
      <c r="F11" s="3">
        <f>PRODUCT(C11,E11)</f>
        <v>64.52</v>
      </c>
      <c r="G11" s="3" t="s">
        <v>62</v>
      </c>
      <c r="H11" s="13" t="s">
        <v>1</v>
      </c>
      <c r="I11" s="2"/>
      <c r="J11" s="2"/>
      <c r="K11" s="2"/>
      <c r="L11" s="2"/>
    </row>
    <row r="12" spans="1:12" x14ac:dyDescent="0.25">
      <c r="A12" s="2" t="s">
        <v>34</v>
      </c>
      <c r="B12" s="5" t="s">
        <v>20</v>
      </c>
      <c r="C12" s="3">
        <v>1</v>
      </c>
      <c r="D12" s="3" t="s">
        <v>11</v>
      </c>
      <c r="E12" s="3" t="s">
        <v>12</v>
      </c>
      <c r="F12" s="3" t="s">
        <v>12</v>
      </c>
      <c r="G12" s="3" t="s">
        <v>12</v>
      </c>
      <c r="H12" s="3" t="s">
        <v>12</v>
      </c>
      <c r="I12" s="2" t="s">
        <v>55</v>
      </c>
      <c r="J12" s="2"/>
      <c r="K12" s="2"/>
      <c r="L12" s="2"/>
    </row>
    <row r="13" spans="1:12" x14ac:dyDescent="0.25">
      <c r="A13" s="2" t="s">
        <v>35</v>
      </c>
      <c r="B13" s="4" t="s">
        <v>23</v>
      </c>
      <c r="C13" s="3">
        <v>1</v>
      </c>
      <c r="D13" s="3" t="s">
        <v>11</v>
      </c>
      <c r="E13" s="3" t="s">
        <v>12</v>
      </c>
      <c r="F13" s="3" t="s">
        <v>12</v>
      </c>
      <c r="G13" s="3" t="s">
        <v>12</v>
      </c>
      <c r="H13" s="3" t="s">
        <v>12</v>
      </c>
      <c r="I13" s="3" t="s">
        <v>24</v>
      </c>
      <c r="J13" s="2"/>
      <c r="K13" s="2"/>
      <c r="L13" s="2"/>
    </row>
    <row r="14" spans="1:12" x14ac:dyDescent="0.25">
      <c r="A14" s="7" t="s">
        <v>25</v>
      </c>
      <c r="B14" s="8"/>
      <c r="C14" s="2"/>
      <c r="D14" s="2"/>
      <c r="E14" s="2"/>
      <c r="F14" s="3"/>
      <c r="G14" s="3"/>
      <c r="H14" s="3"/>
      <c r="I14" s="2"/>
      <c r="J14" s="2"/>
      <c r="K14" s="2"/>
      <c r="L14" s="2"/>
    </row>
    <row r="15" spans="1:12" x14ac:dyDescent="0.25">
      <c r="A15" s="2"/>
      <c r="B15" s="2"/>
      <c r="C15" s="2"/>
      <c r="D15" s="2"/>
      <c r="E15" s="2"/>
      <c r="F15" s="3"/>
      <c r="G15" s="3"/>
      <c r="H15" s="3"/>
      <c r="I15" s="2"/>
      <c r="J15" s="2"/>
      <c r="K15" s="2"/>
      <c r="L15" s="2"/>
    </row>
    <row r="16" spans="1:12" x14ac:dyDescent="0.25">
      <c r="A16" s="2" t="s">
        <v>36</v>
      </c>
      <c r="B16" s="4" t="s">
        <v>46</v>
      </c>
      <c r="C16" s="3">
        <v>1</v>
      </c>
      <c r="D16" s="3" t="s">
        <v>11</v>
      </c>
      <c r="E16" s="3"/>
      <c r="F16" s="3"/>
      <c r="G16" s="3"/>
      <c r="H16" s="13" t="s">
        <v>1</v>
      </c>
      <c r="I16" s="2"/>
      <c r="J16" s="2"/>
      <c r="K16" s="2"/>
      <c r="L16" s="2"/>
    </row>
    <row r="17" spans="1:12" x14ac:dyDescent="0.25">
      <c r="A17" s="2" t="s">
        <v>37</v>
      </c>
      <c r="B17" s="4" t="s">
        <v>47</v>
      </c>
      <c r="C17" s="3">
        <v>1</v>
      </c>
      <c r="D17" s="3" t="s">
        <v>11</v>
      </c>
      <c r="E17" s="3">
        <v>28.68</v>
      </c>
      <c r="F17" s="3">
        <f>PRODUCT(E17,C17)</f>
        <v>28.68</v>
      </c>
      <c r="G17" s="3"/>
      <c r="H17" s="13" t="s">
        <v>1</v>
      </c>
      <c r="I17" s="2"/>
      <c r="J17" s="2"/>
      <c r="K17" s="2"/>
      <c r="L17" s="2"/>
    </row>
    <row r="18" spans="1:12" x14ac:dyDescent="0.25">
      <c r="A18" s="2" t="s">
        <v>38</v>
      </c>
      <c r="B18" s="5" t="s">
        <v>54</v>
      </c>
      <c r="C18" s="3">
        <v>2</v>
      </c>
      <c r="D18" s="3" t="s">
        <v>11</v>
      </c>
      <c r="E18" s="3">
        <v>20</v>
      </c>
      <c r="F18" s="3">
        <f t="shared" ref="F18:F22" si="0">PRODUCT(E18,C18)</f>
        <v>40</v>
      </c>
      <c r="G18" s="3"/>
      <c r="H18" s="15" t="s">
        <v>1</v>
      </c>
      <c r="I18" s="2"/>
      <c r="J18" s="2"/>
      <c r="K18" s="2"/>
      <c r="L18" s="2"/>
    </row>
    <row r="19" spans="1:12" x14ac:dyDescent="0.25">
      <c r="A19" s="2" t="s">
        <v>39</v>
      </c>
      <c r="B19" s="5" t="s">
        <v>48</v>
      </c>
      <c r="C19" s="3">
        <v>1</v>
      </c>
      <c r="D19" s="3" t="s">
        <v>11</v>
      </c>
      <c r="E19" s="3">
        <v>60</v>
      </c>
      <c r="F19" s="3">
        <f t="shared" si="0"/>
        <v>60</v>
      </c>
      <c r="G19" s="3" t="s">
        <v>56</v>
      </c>
      <c r="H19" s="13" t="s">
        <v>1</v>
      </c>
      <c r="I19" s="2"/>
      <c r="J19" s="2"/>
      <c r="K19" s="2"/>
      <c r="L19" s="2"/>
    </row>
    <row r="20" spans="1:12" x14ac:dyDescent="0.25">
      <c r="A20" s="2" t="s">
        <v>40</v>
      </c>
      <c r="B20" s="5" t="s">
        <v>58</v>
      </c>
      <c r="C20" s="3">
        <v>1</v>
      </c>
      <c r="D20" s="3" t="s">
        <v>11</v>
      </c>
      <c r="E20" s="14">
        <v>157.08000000000001</v>
      </c>
      <c r="F20" s="3">
        <f t="shared" si="0"/>
        <v>157.08000000000001</v>
      </c>
      <c r="G20" s="3" t="s">
        <v>56</v>
      </c>
      <c r="H20" s="13" t="s">
        <v>1</v>
      </c>
      <c r="I20" s="2"/>
      <c r="J20" s="2"/>
      <c r="K20" s="2"/>
      <c r="L20" s="2"/>
    </row>
    <row r="21" spans="1:12" x14ac:dyDescent="0.25">
      <c r="A21" s="2" t="s">
        <v>41</v>
      </c>
      <c r="B21" s="5" t="s">
        <v>49</v>
      </c>
      <c r="C21" s="3">
        <v>1</v>
      </c>
      <c r="D21" s="3" t="s">
        <v>11</v>
      </c>
      <c r="E21" s="3">
        <v>27.41</v>
      </c>
      <c r="F21" s="3">
        <f t="shared" si="0"/>
        <v>27.41</v>
      </c>
      <c r="G21" s="3" t="s">
        <v>57</v>
      </c>
      <c r="H21" s="13" t="s">
        <v>1</v>
      </c>
      <c r="I21" s="2"/>
      <c r="J21" s="2"/>
      <c r="K21" s="2"/>
      <c r="L21" s="2"/>
    </row>
    <row r="22" spans="1:12" x14ac:dyDescent="0.25">
      <c r="A22" s="2" t="s">
        <v>42</v>
      </c>
      <c r="B22" s="5" t="s">
        <v>50</v>
      </c>
      <c r="C22" s="3">
        <v>1</v>
      </c>
      <c r="D22" s="3" t="s">
        <v>11</v>
      </c>
      <c r="E22" s="3">
        <v>131.04</v>
      </c>
      <c r="F22" s="3">
        <f t="shared" si="0"/>
        <v>131.04</v>
      </c>
      <c r="G22" s="3" t="s">
        <v>56</v>
      </c>
      <c r="H22" s="13" t="s">
        <v>1</v>
      </c>
      <c r="I22" s="2"/>
      <c r="J22" s="2"/>
      <c r="K22" s="2"/>
      <c r="L22" s="2"/>
    </row>
    <row r="23" spans="1:12" x14ac:dyDescent="0.25">
      <c r="A23" s="2" t="s">
        <v>43</v>
      </c>
      <c r="B23" s="4" t="s">
        <v>51</v>
      </c>
      <c r="C23" s="3"/>
      <c r="D23" s="3"/>
      <c r="E23" s="3"/>
      <c r="F23" s="3"/>
      <c r="G23" s="3"/>
      <c r="H23" s="3"/>
      <c r="I23" s="2" t="s">
        <v>61</v>
      </c>
      <c r="J23" s="2"/>
      <c r="K23" s="2"/>
      <c r="L23" s="2"/>
    </row>
    <row r="24" spans="1:12" x14ac:dyDescent="0.25">
      <c r="A24" s="2" t="s">
        <v>44</v>
      </c>
      <c r="B24" s="4" t="s">
        <v>52</v>
      </c>
      <c r="C24" s="3"/>
      <c r="D24" s="3"/>
      <c r="E24" s="3"/>
      <c r="F24" s="3"/>
      <c r="G24" s="3"/>
      <c r="H24" s="3"/>
      <c r="I24" s="2" t="s">
        <v>61</v>
      </c>
      <c r="J24" s="2"/>
      <c r="K24" s="2"/>
      <c r="L24" s="2"/>
    </row>
    <row r="25" spans="1:12" x14ac:dyDescent="0.25">
      <c r="A25" s="2" t="s">
        <v>45</v>
      </c>
      <c r="B25" s="3"/>
      <c r="C25" s="3"/>
      <c r="D25" s="3"/>
      <c r="E25" s="3"/>
      <c r="F25" s="3"/>
      <c r="G25" s="3"/>
      <c r="H25" s="3"/>
      <c r="I25" s="2"/>
      <c r="J25" s="2"/>
      <c r="K25" s="2"/>
      <c r="L25" s="2"/>
    </row>
    <row r="26" spans="1:12" x14ac:dyDescent="0.25">
      <c r="A26" t="s">
        <v>9</v>
      </c>
    </row>
    <row r="27" spans="1:12" x14ac:dyDescent="0.25">
      <c r="A27" t="s">
        <v>9</v>
      </c>
      <c r="F27" s="16">
        <f>SUM(F5:F22)</f>
        <v>940.2399999999999</v>
      </c>
    </row>
    <row r="28" spans="1:12" x14ac:dyDescent="0.25">
      <c r="A28" t="s">
        <v>9</v>
      </c>
    </row>
    <row r="29" spans="1:12" x14ac:dyDescent="0.25">
      <c r="A29" t="s">
        <v>9</v>
      </c>
    </row>
    <row r="30" spans="1:12" x14ac:dyDescent="0.25">
      <c r="A30" t="s">
        <v>9</v>
      </c>
    </row>
    <row r="31" spans="1:12" x14ac:dyDescent="0.25">
      <c r="A31" t="s">
        <v>9</v>
      </c>
    </row>
    <row r="32" spans="1:12" x14ac:dyDescent="0.25">
      <c r="A32" t="s">
        <v>9</v>
      </c>
    </row>
    <row r="33" spans="1:1" x14ac:dyDescent="0.25">
      <c r="A33" t="s">
        <v>9</v>
      </c>
    </row>
    <row r="34" spans="1:1" x14ac:dyDescent="0.25">
      <c r="A34" t="s">
        <v>9</v>
      </c>
    </row>
    <row r="35" spans="1:1" x14ac:dyDescent="0.25">
      <c r="A35" t="s">
        <v>9</v>
      </c>
    </row>
    <row r="36" spans="1:1" x14ac:dyDescent="0.25">
      <c r="A36" t="s">
        <v>9</v>
      </c>
    </row>
    <row r="37" spans="1:1" x14ac:dyDescent="0.25">
      <c r="A37" t="s">
        <v>9</v>
      </c>
    </row>
    <row r="38" spans="1:1" x14ac:dyDescent="0.25">
      <c r="A38" t="s">
        <v>9</v>
      </c>
    </row>
    <row r="39" spans="1:1" x14ac:dyDescent="0.25">
      <c r="A39" t="s">
        <v>9</v>
      </c>
    </row>
    <row r="40" spans="1:1" x14ac:dyDescent="0.25">
      <c r="A40" t="s">
        <v>9</v>
      </c>
    </row>
    <row r="41" spans="1:1" x14ac:dyDescent="0.25">
      <c r="A41" t="s">
        <v>9</v>
      </c>
    </row>
    <row r="42" spans="1:1" x14ac:dyDescent="0.25">
      <c r="A42" t="s">
        <v>9</v>
      </c>
    </row>
    <row r="43" spans="1:1" x14ac:dyDescent="0.25">
      <c r="A43" t="s">
        <v>9</v>
      </c>
    </row>
    <row r="44" spans="1:1" x14ac:dyDescent="0.25">
      <c r="A44" t="s">
        <v>9</v>
      </c>
    </row>
    <row r="45" spans="1:1" x14ac:dyDescent="0.25">
      <c r="A45" t="s">
        <v>9</v>
      </c>
    </row>
    <row r="46" spans="1:1" x14ac:dyDescent="0.25">
      <c r="A46" t="s">
        <v>9</v>
      </c>
    </row>
    <row r="47" spans="1:1" x14ac:dyDescent="0.25">
      <c r="A47" t="s">
        <v>9</v>
      </c>
    </row>
    <row r="48" spans="1:1" x14ac:dyDescent="0.25">
      <c r="A48" t="s">
        <v>9</v>
      </c>
    </row>
    <row r="49" spans="1:1" x14ac:dyDescent="0.25">
      <c r="A49" t="s">
        <v>9</v>
      </c>
    </row>
    <row r="50" spans="1:1" x14ac:dyDescent="0.25">
      <c r="A50" t="s">
        <v>9</v>
      </c>
    </row>
    <row r="51" spans="1:1" x14ac:dyDescent="0.25">
      <c r="A51" t="s">
        <v>9</v>
      </c>
    </row>
    <row r="52" spans="1:1" x14ac:dyDescent="0.25">
      <c r="A52" t="s">
        <v>9</v>
      </c>
    </row>
  </sheetData>
  <phoneticPr fontId="5" type="noConversion"/>
  <hyperlinks>
    <hyperlink ref="H19" r:id="rId1" xr:uid="{2C6E6108-1DD7-4122-92B1-EECE5A72C39C}"/>
    <hyperlink ref="H21" r:id="rId2" xr:uid="{7E4441D3-98C4-4AEF-AB15-3F117EAE4FBE}"/>
    <hyperlink ref="H22" r:id="rId3" xr:uid="{ECCD1AA6-BDAD-4B69-91BF-2B4084AC6253}"/>
    <hyperlink ref="H17" r:id="rId4" xr:uid="{000E10AB-ACCD-4150-A561-EE44CD3A67AC}"/>
    <hyperlink ref="H16" r:id="rId5" xr:uid="{CDD680CB-944C-48C7-8804-FBAD69EAF207}"/>
    <hyperlink ref="H20" r:id="rId6" xr:uid="{0C201D00-EBDE-4B08-ADDC-C7904356A0E5}"/>
    <hyperlink ref="H18" r:id="rId7" xr:uid="{43775743-72EF-43CF-AE7B-9B94E55F2085}"/>
    <hyperlink ref="H11" r:id="rId8" xr:uid="{A61B8529-FBCA-407A-924C-1AA905530E0F}"/>
    <hyperlink ref="H10" r:id="rId9" xr:uid="{1FA1D32C-C712-482E-BD77-D795D425EB4E}"/>
    <hyperlink ref="H7" r:id="rId10" xr:uid="{03A80E25-1F42-4801-9FB7-24B03FE35545}"/>
  </hyperlinks>
  <pageMargins left="0.7" right="0.7" top="0.75" bottom="0.75" header="0.3" footer="0.3"/>
  <pageSetup paperSize="9" orientation="portrait" r:id="rId1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CB483-ADED-4B95-9670-0879BC776B3B}">
  <dimension ref="A1:I19"/>
  <sheetViews>
    <sheetView tabSelected="1" zoomScaleNormal="100" workbookViewId="0">
      <selection activeCell="D6" sqref="D6"/>
    </sheetView>
  </sheetViews>
  <sheetFormatPr defaultRowHeight="15" x14ac:dyDescent="0.25"/>
  <cols>
    <col min="1" max="1" width="13.7109375" customWidth="1"/>
    <col min="3" max="3" width="35.85546875" customWidth="1"/>
    <col min="4" max="4" width="15" bestFit="1" customWidth="1"/>
    <col min="5" max="5" width="25.140625" customWidth="1"/>
    <col min="6" max="6" width="12.28515625" bestFit="1" customWidth="1"/>
    <col min="7" max="7" width="9.85546875" customWidth="1"/>
    <col min="8" max="8" width="25" customWidth="1"/>
    <col min="9" max="9" width="42.28515625" customWidth="1"/>
  </cols>
  <sheetData>
    <row r="1" spans="1:9" ht="15.75" customHeight="1" x14ac:dyDescent="0.25">
      <c r="A1" s="18" t="s">
        <v>67</v>
      </c>
      <c r="B1" s="2"/>
      <c r="C1" s="2" t="s">
        <v>105</v>
      </c>
      <c r="D1" s="2" t="s">
        <v>106</v>
      </c>
      <c r="E1" s="2" t="s">
        <v>116</v>
      </c>
      <c r="F1" s="19" t="s">
        <v>90</v>
      </c>
      <c r="G1" s="2"/>
      <c r="H1" s="2" t="s">
        <v>105</v>
      </c>
      <c r="I1" s="2" t="s">
        <v>106</v>
      </c>
    </row>
    <row r="2" spans="1:9" ht="15" customHeight="1" x14ac:dyDescent="0.25">
      <c r="A2" s="20" t="s">
        <v>68</v>
      </c>
      <c r="B2" s="20" t="s">
        <v>69</v>
      </c>
      <c r="C2" s="20" t="s">
        <v>118</v>
      </c>
      <c r="D2" s="20" t="s">
        <v>70</v>
      </c>
      <c r="E2" s="21"/>
      <c r="F2" s="20" t="s">
        <v>68</v>
      </c>
      <c r="G2" s="20" t="s">
        <v>69</v>
      </c>
      <c r="H2" s="20" t="s">
        <v>118</v>
      </c>
      <c r="I2" s="20" t="s">
        <v>70</v>
      </c>
    </row>
    <row r="3" spans="1:9" x14ac:dyDescent="0.25">
      <c r="A3" s="20" t="s">
        <v>71</v>
      </c>
      <c r="B3" s="20" t="s">
        <v>72</v>
      </c>
      <c r="C3" s="20" t="s">
        <v>117</v>
      </c>
      <c r="D3" s="20" t="s">
        <v>73</v>
      </c>
      <c r="E3" s="21"/>
      <c r="F3" s="20" t="s">
        <v>71</v>
      </c>
      <c r="G3" s="20" t="s">
        <v>72</v>
      </c>
      <c r="H3" s="20" t="s">
        <v>117</v>
      </c>
      <c r="I3" s="20" t="s">
        <v>73</v>
      </c>
    </row>
    <row r="4" spans="1:9" x14ac:dyDescent="0.25">
      <c r="A4" s="20" t="s">
        <v>74</v>
      </c>
      <c r="B4" s="20" t="s">
        <v>75</v>
      </c>
      <c r="C4" s="20" t="s">
        <v>112</v>
      </c>
      <c r="D4" s="20" t="s">
        <v>111</v>
      </c>
      <c r="E4" s="21"/>
      <c r="F4" s="20" t="s">
        <v>74</v>
      </c>
      <c r="G4" s="20" t="s">
        <v>75</v>
      </c>
      <c r="H4" s="20"/>
      <c r="I4" s="20" t="s">
        <v>127</v>
      </c>
    </row>
    <row r="5" spans="1:9" x14ac:dyDescent="0.25">
      <c r="A5" s="20" t="s">
        <v>76</v>
      </c>
      <c r="B5" s="20" t="s">
        <v>77</v>
      </c>
      <c r="C5" s="20"/>
      <c r="D5" s="20" t="s">
        <v>103</v>
      </c>
      <c r="E5" s="21"/>
      <c r="F5" s="20" t="s">
        <v>76</v>
      </c>
      <c r="G5" s="20" t="s">
        <v>77</v>
      </c>
      <c r="H5" s="20"/>
      <c r="I5" s="20" t="s">
        <v>128</v>
      </c>
    </row>
    <row r="6" spans="1:9" x14ac:dyDescent="0.25">
      <c r="A6" s="20" t="s">
        <v>78</v>
      </c>
      <c r="B6" s="20" t="s">
        <v>79</v>
      </c>
      <c r="C6" s="20"/>
      <c r="D6" s="20" t="s">
        <v>104</v>
      </c>
      <c r="E6" s="21"/>
      <c r="F6" s="20" t="s">
        <v>78</v>
      </c>
      <c r="G6" s="20" t="s">
        <v>79</v>
      </c>
      <c r="H6" s="20"/>
      <c r="I6" s="20" t="s">
        <v>129</v>
      </c>
    </row>
    <row r="7" spans="1:9" x14ac:dyDescent="0.25">
      <c r="A7" s="20" t="s">
        <v>80</v>
      </c>
      <c r="B7" s="20" t="s">
        <v>85</v>
      </c>
      <c r="C7" s="20"/>
      <c r="D7" s="20" t="s">
        <v>113</v>
      </c>
      <c r="E7" s="22" t="s">
        <v>119</v>
      </c>
      <c r="F7" s="20" t="s">
        <v>80</v>
      </c>
      <c r="G7" s="20" t="s">
        <v>85</v>
      </c>
      <c r="H7" s="20"/>
      <c r="I7" s="20" t="s">
        <v>130</v>
      </c>
    </row>
    <row r="8" spans="1:9" x14ac:dyDescent="0.25">
      <c r="A8" s="20" t="s">
        <v>81</v>
      </c>
      <c r="B8" s="20" t="s">
        <v>86</v>
      </c>
      <c r="C8" s="20"/>
      <c r="D8" s="20" t="s">
        <v>108</v>
      </c>
      <c r="E8" s="22" t="s">
        <v>119</v>
      </c>
      <c r="F8" s="20" t="s">
        <v>81</v>
      </c>
      <c r="G8" s="20" t="s">
        <v>86</v>
      </c>
      <c r="H8" s="20"/>
      <c r="I8" s="20" t="s">
        <v>131</v>
      </c>
    </row>
    <row r="9" spans="1:9" x14ac:dyDescent="0.25">
      <c r="A9" s="20" t="s">
        <v>82</v>
      </c>
      <c r="B9" s="20" t="s">
        <v>87</v>
      </c>
      <c r="C9" s="20"/>
      <c r="D9" s="20" t="s">
        <v>114</v>
      </c>
      <c r="E9" s="22" t="s">
        <v>119</v>
      </c>
      <c r="F9" s="20" t="s">
        <v>82</v>
      </c>
      <c r="G9" s="20" t="s">
        <v>87</v>
      </c>
      <c r="H9" s="20"/>
      <c r="I9" s="20" t="s">
        <v>137</v>
      </c>
    </row>
    <row r="10" spans="1:9" x14ac:dyDescent="0.25">
      <c r="A10" s="20" t="s">
        <v>83</v>
      </c>
      <c r="B10" s="20" t="s">
        <v>88</v>
      </c>
      <c r="C10" s="20"/>
      <c r="D10" s="20" t="s">
        <v>115</v>
      </c>
      <c r="E10" s="22" t="s">
        <v>119</v>
      </c>
      <c r="F10" s="20" t="s">
        <v>83</v>
      </c>
      <c r="G10" s="20" t="s">
        <v>88</v>
      </c>
      <c r="H10" s="20"/>
      <c r="I10" s="20" t="s">
        <v>138</v>
      </c>
    </row>
    <row r="11" spans="1:9" x14ac:dyDescent="0.25">
      <c r="A11" s="23" t="s">
        <v>84</v>
      </c>
      <c r="B11" s="23" t="s">
        <v>89</v>
      </c>
      <c r="C11" s="23"/>
      <c r="D11" s="23"/>
      <c r="E11" s="21"/>
      <c r="F11" s="20" t="s">
        <v>84</v>
      </c>
      <c r="G11" s="20" t="s">
        <v>89</v>
      </c>
      <c r="H11" s="20"/>
      <c r="I11" s="20" t="s">
        <v>139</v>
      </c>
    </row>
    <row r="12" spans="1:9" x14ac:dyDescent="0.25">
      <c r="A12" s="20" t="s">
        <v>91</v>
      </c>
      <c r="B12" s="20" t="s">
        <v>95</v>
      </c>
      <c r="C12" s="20" t="s">
        <v>110</v>
      </c>
      <c r="D12" s="20" t="s">
        <v>108</v>
      </c>
      <c r="E12" s="21"/>
      <c r="F12" s="20" t="s">
        <v>91</v>
      </c>
      <c r="G12" s="20" t="s">
        <v>132</v>
      </c>
      <c r="H12" s="20"/>
      <c r="I12" s="20" t="s">
        <v>120</v>
      </c>
    </row>
    <row r="13" spans="1:9" x14ac:dyDescent="0.25">
      <c r="A13" s="20" t="s">
        <v>92</v>
      </c>
      <c r="B13" s="20" t="s">
        <v>96</v>
      </c>
      <c r="C13" s="20" t="s">
        <v>109</v>
      </c>
      <c r="D13" s="20" t="s">
        <v>107</v>
      </c>
      <c r="E13" s="21"/>
      <c r="F13" s="20" t="s">
        <v>92</v>
      </c>
      <c r="G13" s="20" t="s">
        <v>133</v>
      </c>
      <c r="H13" s="20"/>
      <c r="I13" s="20" t="s">
        <v>121</v>
      </c>
    </row>
    <row r="14" spans="1:9" x14ac:dyDescent="0.25">
      <c r="A14" s="26" t="s">
        <v>93</v>
      </c>
      <c r="B14" s="26" t="s">
        <v>97</v>
      </c>
      <c r="C14" s="26"/>
      <c r="D14" s="26"/>
      <c r="E14" s="21"/>
      <c r="F14" s="20" t="s">
        <v>93</v>
      </c>
      <c r="G14" s="20" t="s">
        <v>134</v>
      </c>
      <c r="H14" s="20"/>
      <c r="I14" s="20" t="s">
        <v>122</v>
      </c>
    </row>
    <row r="15" spans="1:9" x14ac:dyDescent="0.25">
      <c r="A15" s="23" t="s">
        <v>94</v>
      </c>
      <c r="B15" s="23" t="s">
        <v>98</v>
      </c>
      <c r="C15" s="23"/>
      <c r="D15" s="23"/>
      <c r="E15" s="21"/>
      <c r="F15" s="20" t="s">
        <v>94</v>
      </c>
      <c r="G15" s="20" t="s">
        <v>135</v>
      </c>
      <c r="H15" s="20"/>
      <c r="I15" s="20" t="s">
        <v>123</v>
      </c>
    </row>
    <row r="16" spans="1:9" x14ac:dyDescent="0.25">
      <c r="A16" s="21"/>
      <c r="B16" s="21"/>
      <c r="C16" s="21"/>
      <c r="D16" s="21"/>
      <c r="E16" s="21"/>
      <c r="F16" s="20" t="s">
        <v>99</v>
      </c>
      <c r="G16" s="20" t="s">
        <v>136</v>
      </c>
      <c r="H16" s="20"/>
      <c r="I16" s="20" t="s">
        <v>124</v>
      </c>
    </row>
    <row r="17" spans="1:9" x14ac:dyDescent="0.25">
      <c r="A17" s="24" t="s">
        <v>125</v>
      </c>
      <c r="B17" s="21"/>
      <c r="C17" s="21"/>
      <c r="D17" s="21"/>
      <c r="E17" s="21"/>
      <c r="F17" s="23" t="s">
        <v>100</v>
      </c>
      <c r="G17" s="20"/>
      <c r="H17" s="23"/>
      <c r="I17" s="23"/>
    </row>
    <row r="18" spans="1:9" x14ac:dyDescent="0.25">
      <c r="A18" s="25" t="s">
        <v>126</v>
      </c>
      <c r="B18" s="21"/>
      <c r="C18" s="21"/>
      <c r="D18" s="21"/>
      <c r="E18" s="21"/>
      <c r="F18" s="23" t="s">
        <v>101</v>
      </c>
      <c r="G18" s="20"/>
      <c r="H18" s="23"/>
      <c r="I18" s="23"/>
    </row>
    <row r="19" spans="1:9" x14ac:dyDescent="0.25">
      <c r="A19" s="21"/>
      <c r="B19" s="21"/>
      <c r="C19" s="21"/>
      <c r="D19" s="21"/>
      <c r="E19" s="21"/>
      <c r="F19" s="23" t="s">
        <v>102</v>
      </c>
      <c r="G19" s="20"/>
      <c r="H19" s="23"/>
      <c r="I19" s="23"/>
    </row>
  </sheetData>
  <phoneticPr fontId="5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Bestelliste</vt:lpstr>
      <vt:lpstr>I_O_Liste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Mattias Laussermayer</dc:creator>
  <cp:lastModifiedBy>Mattias Laussermayer</cp:lastModifiedBy>
  <dcterms:created xsi:type="dcterms:W3CDTF">2015-06-05T18:19:34Z</dcterms:created>
  <dcterms:modified xsi:type="dcterms:W3CDTF">2026-10-09T12:19:46Z</dcterms:modified>
</cp:coreProperties>
</file>